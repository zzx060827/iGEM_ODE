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80" activeTab="1"/>
  </bookViews>
  <sheets>
    <sheet name="Summary" sheetId="1" r:id="rId1"/>
    <sheet name="Organ_Margins" sheetId="2" r:id="rId2"/>
    <sheet name="Evidence" sheetId="3" r:id="rId3"/>
    <sheet name="Codeboo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<sst xmlns="http://schemas.openxmlformats.org/spreadsheetml/2006/main" count="4772" uniqueCount="184">
  <si>
    <r>
      <t xml:space="preserve">AAV–SINEUP </t>
    </r>
    <r>
      <rPr>
        <b/>
        <sz val="16"/>
        <color rgb="FFFFFFFF"/>
        <rFont val="宋体-简"/>
        <charset val="134"/>
      </rPr>
      <t>安全性证据（模型内暴露裕度）</t>
    </r>
  </si>
  <si>
    <t>当前人体模型剂量</t>
  </si>
  <si>
    <t>IV / ZOLGENSMA 剂量比</t>
  </si>
  <si>
    <t>70 kg 总剂量</t>
  </si>
  <si>
    <t>IV / 小鼠信号剂量比</t>
  </si>
  <si>
    <t>ZOLGENSMA IV 剂量</t>
  </si>
  <si>
    <t>IV 器官 AUC 裕度</t>
  </si>
  <si>
    <t>小鼠心脏组织学信号剂量</t>
  </si>
  <si>
    <t>IT / ITVISMA 剂量比</t>
  </si>
  <si>
    <t>ITVISMA 鞘内总剂量</t>
  </si>
  <si>
    <t>IT 器官 AUC 裕度</t>
  </si>
  <si>
    <t>KEBILIDI 脑内总剂量</t>
  </si>
  <si>
    <t>IV AAV9 可提供背景支持器官</t>
  </si>
  <si>
    <t>结论</t>
  </si>
  <si>
    <r>
      <t>IV AAV9</t>
    </r>
    <r>
      <rPr>
        <sz val="11"/>
        <rFont val="宋体-简"/>
        <charset val="134"/>
      </rPr>
      <t>：当前</t>
    </r>
    <r>
      <rPr>
        <sz val="11"/>
        <rFont val="Arial"/>
        <charset val="134"/>
      </rPr>
      <t xml:space="preserve"> 4.0×10^13 vg/kg </t>
    </r>
    <r>
      <rPr>
        <sz val="11"/>
        <rFont val="宋体-简"/>
        <charset val="134"/>
      </rPr>
      <t>在同一</t>
    </r>
    <r>
      <rPr>
        <sz val="11"/>
        <rFont val="Arial"/>
        <charset val="134"/>
      </rPr>
      <t xml:space="preserve"> PBPK </t>
    </r>
    <r>
      <rPr>
        <sz val="11"/>
        <rFont val="宋体-简"/>
        <charset val="134"/>
      </rPr>
      <t>方程中，相对</t>
    </r>
    <r>
      <rPr>
        <sz val="11"/>
        <rFont val="Arial"/>
        <charset val="134"/>
      </rPr>
      <t xml:space="preserve"> ZOLGENSMA </t>
    </r>
    <r>
      <rPr>
        <sz val="11"/>
        <rFont val="宋体-简"/>
        <charset val="134"/>
      </rPr>
      <t>上市剂量的器官</t>
    </r>
    <r>
      <rPr>
        <sz val="11"/>
        <rFont val="Arial"/>
        <charset val="134"/>
      </rPr>
      <t xml:space="preserve"> AUC </t>
    </r>
    <r>
      <rPr>
        <sz val="11"/>
        <rFont val="宋体-简"/>
        <charset val="134"/>
      </rPr>
      <t>裕度约</t>
    </r>
    <r>
      <rPr>
        <sz val="11"/>
        <rFont val="Arial"/>
        <charset val="134"/>
      </rPr>
      <t xml:space="preserve"> 2.75</t>
    </r>
    <r>
      <rPr>
        <sz val="11"/>
        <rFont val="宋体-简"/>
        <charset val="134"/>
      </rPr>
      <t>；相对标签中</t>
    </r>
    <r>
      <rPr>
        <sz val="11"/>
        <rFont val="Arial"/>
        <charset val="134"/>
      </rPr>
      <t xml:space="preserve"> 7.9×10^13 vg/kg </t>
    </r>
    <r>
      <rPr>
        <sz val="11"/>
        <rFont val="宋体-简"/>
        <charset val="134"/>
      </rPr>
      <t>小鼠心脏组织学信号剂量约</t>
    </r>
    <r>
      <rPr>
        <sz val="11"/>
        <rFont val="Arial"/>
        <charset val="134"/>
      </rPr>
      <t xml:space="preserve"> 1.98</t>
    </r>
    <r>
      <rPr>
        <sz val="11"/>
        <rFont val="宋体-简"/>
        <charset val="134"/>
      </rPr>
      <t>。该结果支持安全的学说，不是人体</t>
    </r>
    <r>
      <rPr>
        <sz val="11"/>
        <rFont val="Arial"/>
        <charset val="134"/>
      </rPr>
      <t xml:space="preserve"> NOAEL</t>
    </r>
    <r>
      <rPr>
        <sz val="11"/>
        <rFont val="宋体-简"/>
        <charset val="134"/>
      </rPr>
      <t>。</t>
    </r>
  </si>
  <si>
    <t>器官证据：8 个器官组中，心、肝、脑/DRG 背景、肾和脾可获得有限的同途径/同衣壳背景支持；肺、肌肉和 rest-of-body 无器官特异毒性阈值，应标为证据不足。</t>
  </si>
  <si>
    <t>鞘内 AAV9：当前 2.8×10^15 vg 是 ITVISMA 上市剂量的 23.3 倍；按当前模型计算，各器官 AUC 约为 ITVISMA 剂量重跑结果的 23.3–23.7 倍，因此当前 CSF 剂量不受支持。</t>
  </si>
  <si>
    <t>质粒/SINEUP：现有直接证据是小鼠纹状体 7.0×10^9 vg 的 AAV9-miniSINEUP-GDNF，使内源 GDNF 约升高 2 倍、持续至少 6 个月且未报告体重/摄食信号。不能外推为当前未定序列质粒的人体安全性。</t>
  </si>
  <si>
    <t>判定规则：margin ≥ 1 只表示模型暴露低于参照；任何绿色或黄色状态均不得解释为临床安全、无不良反应或可直接选定人体剂量。</t>
  </si>
  <si>
    <t>建议：IV 场景可作为研究假设继续；鞘内先降到 1.2×10^14 vg total 或更低重求解；DRG、免疫/补体和目标蛋白过表达窗口需要新增模型与实验。</t>
  </si>
  <si>
    <t>route_id</t>
  </si>
  <si>
    <t>route</t>
  </si>
  <si>
    <t>capsid_id</t>
  </si>
  <si>
    <t>capsid</t>
  </si>
  <si>
    <t>organ</t>
  </si>
  <si>
    <t>current_dose_vg</t>
  </si>
  <si>
    <t>current_dose_vg_per_kg</t>
  </si>
  <si>
    <t>current_auc_isf_amount_vg_h</t>
  </si>
  <si>
    <t>reference_id</t>
  </si>
  <si>
    <t>reference_product</t>
  </si>
  <si>
    <t>reference_auc_isf_amount_vg_h</t>
  </si>
  <si>
    <t>exposure_margin_reference_over_current</t>
  </si>
  <si>
    <t>assessment</t>
  </si>
  <si>
    <t>evidence_grade</t>
  </si>
  <si>
    <t>comparator_scope</t>
  </si>
  <si>
    <t>evidence_note</t>
  </si>
  <si>
    <t>source_url</t>
  </si>
  <si>
    <t>iv</t>
  </si>
  <si>
    <t>Peripheral intravenous</t>
  </si>
  <si>
    <t>aav2</t>
  </si>
  <si>
    <t>AAV2</t>
  </si>
  <si>
    <t>brain</t>
  </si>
  <si>
    <t>zolgensma_mouse_histology_signal</t>
  </si>
  <si>
    <t>Onasemnogene abeparvovec mouse toxicology</t>
  </si>
  <si>
    <t>cross-capsid-context-only</t>
  </si>
  <si>
    <t>insufficient</t>
  </si>
  <si>
    <t>same-route AAV9 product-specific nonclinical signal context</t>
  </si>
  <si>
    <t>cross-capsid AAV9 comparison only</t>
  </si>
  <si>
    <t>https://www.fda.gov/media/126109/download</t>
  </si>
  <si>
    <t>heart</t>
  </si>
  <si>
    <t>kidney</t>
  </si>
  <si>
    <t>liver</t>
  </si>
  <si>
    <t>lung</t>
  </si>
  <si>
    <t>muscle</t>
  </si>
  <si>
    <t>rest</t>
  </si>
  <si>
    <t>spleen</t>
  </si>
  <si>
    <t>aav5</t>
  </si>
  <si>
    <t>AAV5</t>
  </si>
  <si>
    <t>aav8</t>
  </si>
  <si>
    <t>AAV8</t>
  </si>
  <si>
    <t>aav9</t>
  </si>
  <si>
    <t>AAV9</t>
  </si>
  <si>
    <t>below-signal-or-clinical-context-not-proven-safe</t>
  </si>
  <si>
    <t>low</t>
  </si>
  <si>
    <t>below NHP DRG/CNS finding-dose context; no modeled DRG compartment</t>
  </si>
  <si>
    <t>moderate</t>
  </si>
  <si>
    <t>below product-specific mouse signal exposure; not a human NOAEL</t>
  </si>
  <si>
    <t>below marketed-dose context; TMA is immune-mediated and not an organ-AUC threshold</t>
  </si>
  <si>
    <t>insufficient-evidence</t>
  </si>
  <si>
    <t>no organ-specific toxic exposure threshold</t>
  </si>
  <si>
    <t>aavrh10</t>
  </si>
  <si>
    <t>AAVrh.10</t>
  </si>
  <si>
    <t>php-eb</t>
  </si>
  <si>
    <t>PHP.eB</t>
  </si>
  <si>
    <t>cap-b10</t>
  </si>
  <si>
    <t>CAP-B10</t>
  </si>
  <si>
    <t>lk03</t>
  </si>
  <si>
    <t>AAV-LK03</t>
  </si>
  <si>
    <t>intrathecal</t>
  </si>
  <si>
    <t>Lumbar intrathecal</t>
  </si>
  <si>
    <t>itvisma_it</t>
  </si>
  <si>
    <t>ITVISMA (onasemnogene abeparvovec-brve)</t>
  </si>
  <si>
    <t>same-route marketed AAV9 context</t>
  </si>
  <si>
    <t>https://www.fda.gov/media/193168/download</t>
  </si>
  <si>
    <t>exceeds-marketed-product-exposure-context</t>
  </si>
  <si>
    <t>same route/capsid marketed-product context, but current dose exceeds it</t>
  </si>
  <si>
    <t>intramuscular</t>
  </si>
  <si>
    <t>Deltoid intramuscular</t>
  </si>
  <si>
    <t>none</t>
  </si>
  <si>
    <t>no route-matched quantitative AAV comparator</t>
  </si>
  <si>
    <t/>
  </si>
  <si>
    <t>no route-matched quantitative comparator</t>
  </si>
  <si>
    <t>intracisternal</t>
  </si>
  <si>
    <t>Intra-cisterna magna</t>
  </si>
  <si>
    <t>closest-route-context-only</t>
  </si>
  <si>
    <t>closest-route lumbar intrathecal AAV9 context; route mismatch</t>
  </si>
  <si>
    <t>closest-route comparison only; delivery geometry and local Cmax differ</t>
  </si>
  <si>
    <t>intracerebroventricular</t>
  </si>
  <si>
    <t>Intracerebroventricular</t>
  </si>
  <si>
    <t>inhaled</t>
  </si>
  <si>
    <t>Inhaled / airway</t>
  </si>
  <si>
    <t>product_or_study</t>
  </si>
  <si>
    <t>capsid_or_modality</t>
  </si>
  <si>
    <t>dose_value</t>
  </si>
  <si>
    <t>dose_unit</t>
  </si>
  <si>
    <t>evidence_kind</t>
  </si>
  <si>
    <t>model_use</t>
  </si>
  <si>
    <t>interpretation_limit</t>
  </si>
  <si>
    <t>zolgensma_iv</t>
  </si>
  <si>
    <t>ZOLGENSMA (onasemnogene abeparvovec-xioi)</t>
  </si>
  <si>
    <t>vg/kg</t>
  </si>
  <si>
    <t>marketed-product dose with serious known risks</t>
  </si>
  <si>
    <t>quantitative reference</t>
  </si>
  <si>
    <t>Same route and capsid as IV AAV9, but different payload, manufacturing, age and disease. The dose is not a universal safe threshold.</t>
  </si>
  <si>
    <t>lowest explicitly reported cardiac histology signal dose; not a NOAEL</t>
  </si>
  <si>
    <t>Neonatal-mouse product-specific signal. Directly relevant to heart and supportive for liver hazard identification; not an all-organ human threshold.</t>
  </si>
  <si>
    <t>vg/patient</t>
  </si>
  <si>
    <t>Same route and capsid as lumbar intrathecal AAV9, but different payload, manufacturing, population and procedure. The dose is not a universal safe threshold.</t>
  </si>
  <si>
    <t>kebilidi_intraputaminal</t>
  </si>
  <si>
    <t>KEBILIDI (eladocagene exuparvovec-tneq)</t>
  </si>
  <si>
    <t>intraputaminal</t>
  </si>
  <si>
    <t>marketed local-CNS product dose and procedure context</t>
  </si>
  <si>
    <t>case/procedure context only</t>
  </si>
  <si>
    <t>Four stereotactic putaminal infusions totaling 0.32 mL. The current model has no intraparenchymal compartment, so this case is not used as an exposure threshold.</t>
  </si>
  <si>
    <t>https://dailymed.nlm.nih.gov/dailymed/drugInfo.cfm?setid=9d6a6401-c6b5-4f29-af11-67707d249482</t>
  </si>
  <si>
    <t>sineup_gdnf_mouse</t>
  </si>
  <si>
    <t>AAV9-miniSINEUP-GDNF proof of concept</t>
  </si>
  <si>
    <t>intrastriatal</t>
  </si>
  <si>
    <t>vg/mouse</t>
  </si>
  <si>
    <t>mechanism and local tolerability proof of concept; not GLP toxicology</t>
  </si>
  <si>
    <t>1 uL of 7.0e12 vg/mL AAV9; about two-fold endogenous GDNF increase for at least six months with no reported body-weight or food-intake signal. Target- and species-specific.</t>
  </si>
  <si>
    <t>https://pmc.ncbi.nlm.nih.gov/articles/PMC7000958/</t>
  </si>
  <si>
    <t>itvisma_nhp_low_dose</t>
  </si>
  <si>
    <t>Onasemnogene abeparvovec 12-month NHP IT toxicology</t>
  </si>
  <si>
    <t>vg/NHP</t>
  </si>
  <si>
    <t>lowest NHP IT dose with microscopic neural findings; not a NOAEL</t>
  </si>
  <si>
    <t>Minimal-to-moderate microscopic CNS/DRG/nerve findings occurred at all tested doses, including 1.2e13 vg/NHP. No clinical correlate; CSF scaling was used for human context.</t>
  </si>
  <si>
    <t>https://pmc.ncbi.nlm.nih.gov/articles/PMC9347375/</t>
  </si>
  <si>
    <t>itvisma_clinical_safety</t>
  </si>
  <si>
    <t>ITVISMA randomized and open-label clinical safety database</t>
  </si>
  <si>
    <t>clinical adverse-reaction frequencies at marketed dose</t>
  </si>
  <si>
    <t>At 1.2e14 vg: hepatic-enzyme increase 6/75 (8%), thrombocytopenia 3/75 (4%), sensory disturbance 2/75 (3%); two ALT values reached 20x ULN.</t>
  </si>
  <si>
    <t>spinraza_it_rna</t>
  </si>
  <si>
    <t>SPINRAZA (nusinersen)</t>
  </si>
  <si>
    <t>none; antisense oligonucleotide</t>
  </si>
  <si>
    <t>mg/5 mL per low-dose administration</t>
  </si>
  <si>
    <t>marketed CNS RNA-drug procedure context</t>
  </si>
  <si>
    <t>Useful for lumbar-puncture procedure and monitoring context; mass cannot be converted to vg.</t>
  </si>
  <si>
    <t>https://www.accessdata.fda.gov/drugsatfda_docs/label/2026/209531s016lbl.pdf</t>
  </si>
  <si>
    <t>qalsody_it_rna</t>
  </si>
  <si>
    <t>QALSODY (tofersen)</t>
  </si>
  <si>
    <t>mg/15 mL per administration</t>
  </si>
  <si>
    <t>Useful for lumbar-puncture procedure and route-specific hazards; mass cannot be converted to vg.</t>
  </si>
  <si>
    <t>https://www.accessdata.fda.gov/drugsatfda_docs/label/2023/215887s000lbl.pdf</t>
  </si>
  <si>
    <t>字段/状态</t>
  </si>
  <si>
    <t>中文解释</t>
  </si>
  <si>
    <t>允许的结论</t>
  </si>
  <si>
    <t>禁止的结论</t>
  </si>
  <si>
    <t>参照剂量重跑所得器官 ISF amount AUC / 当前器官 AUC</t>
  </si>
  <si>
    <t>比较模型内暴露</t>
  </si>
  <si>
    <t>不良反应概率或人体安全窗</t>
  </si>
  <si>
    <t>低于选定同途径/同衣壳参照</t>
  </si>
  <si>
    <t>可作为起始剂量背景</t>
  </si>
  <si>
    <t>已证明安全</t>
  </si>
  <si>
    <t>高于上市产品同途径剂量下的模型暴露</t>
  </si>
  <si>
    <t>应降剂量并重求解</t>
  </si>
  <si>
    <t>只是保守、可以忽略</t>
  </si>
  <si>
    <t>用 AAV9 参照比较非 AAV9 衣壳</t>
  </si>
  <si>
    <t>风险排序假设</t>
  </si>
  <si>
    <t>等效安全阈值</t>
  </si>
  <si>
    <t>ICM/ICV 暂用 IT 作为最近途径背景</t>
  </si>
  <si>
    <t>提示局部 CNS 风险</t>
  </si>
  <si>
    <t>途径等价</t>
  </si>
  <si>
    <t>无器官或产品特异阈值</t>
  </si>
  <si>
    <t>标记缺口并设计实验</t>
  </si>
  <si>
    <t>默认安全</t>
  </si>
  <si>
    <t>AUC</t>
  </si>
  <si>
    <t>组织间液中载体量对时间积分，单位 vg·h</t>
  </si>
  <si>
    <t>相对暴露指标</t>
  </si>
  <si>
    <t>组织病理、ALT 或事件概率</t>
  </si>
  <si>
    <t>DRG</t>
  </si>
  <si>
    <t>背根神经节；当前 PBPK 未单独建模</t>
  </si>
  <si>
    <t>独立神经毒理终点</t>
  </si>
  <si>
    <t>用 whole-brain AUC 代替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</si>
</sst>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#"/>
    <numFmt numFmtId="177" formatCode="0.00_);[Red]\(0.00\)"/>
    <numFmt numFmtId="178" formatCode="0.0%"/>
  </numFmts>
  <fonts count="28">
    <font>
      <sz val="11"/>
      <name val="Carlito"/>
      <charset val="134"/>
    </font>
    <font>
      <b/>
      <sz val="11"/>
      <color rgb="FFFFFFFF"/>
      <name val="Arial"/>
      <charset val="134"/>
    </font>
    <font>
      <b/>
      <sz val="16"/>
      <color rgb="FFFFFFFF"/>
      <name val="Arial"/>
      <charset val="134"/>
    </font>
    <font>
      <sz val="11"/>
      <name val="Arial"/>
      <charset val="134"/>
    </font>
    <font>
      <b/>
      <sz val="11"/>
      <color rgb="FF17324D"/>
      <name val="Arial"/>
      <charset val="134"/>
    </font>
    <font>
      <b/>
      <sz val="11"/>
      <color rgb="FFFFFFFF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FFFFFF"/>
      <name val="宋体-简"/>
      <charset val="134"/>
    </font>
    <font>
      <sz val="11"/>
      <name val="宋体-简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C9D4DC"/>
      </left>
      <right/>
      <top style="thin">
        <color rgb="FFC9D4DC"/>
      </top>
      <bottom/>
      <diagonal/>
    </border>
    <border>
      <left/>
      <right/>
      <top style="thin">
        <color rgb="FFC9D4DC"/>
      </top>
      <bottom/>
      <diagonal/>
    </border>
    <border>
      <left/>
      <right style="thin">
        <color rgb="FFC9D4DC"/>
      </right>
      <top style="thin">
        <color rgb="FFC9D4DC"/>
      </top>
      <bottom/>
      <diagonal/>
    </border>
    <border>
      <left style="thin">
        <color rgb="FFC9D4DC"/>
      </left>
      <right/>
      <top/>
      <bottom/>
      <diagonal/>
    </border>
    <border>
      <left/>
      <right style="thin">
        <color rgb="FFC9D4DC"/>
      </right>
      <top/>
      <bottom/>
      <diagonal/>
    </border>
    <border>
      <left style="thin">
        <color rgb="FFC9D4DC"/>
      </left>
      <right/>
      <top/>
      <bottom style="thin">
        <color rgb="FFC9D4DC"/>
      </bottom>
      <diagonal/>
    </border>
    <border>
      <left/>
      <right/>
      <top/>
      <bottom style="thin">
        <color rgb="FFC9D4DC"/>
      </bottom>
      <diagonal/>
    </border>
    <border>
      <left/>
      <right style="thin">
        <color rgb="FFC9D4DC"/>
      </right>
      <top/>
      <bottom style="thin">
        <color rgb="FFC9D4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</cellStyleXfs>
  <cellXfs count="46">
    <xf numFmtId="0" fontId="0" fillId="0" borderId="0" xfId="49"/>
    <xf numFmtId="0" fontId="1" fillId="2" borderId="1" xfId="49" applyNumberFormat="1" applyFont="1" applyFill="1" applyBorder="1"/>
    <xf numFmtId="0" fontId="1" fillId="2" borderId="2" xfId="49" applyNumberFormat="1" applyFont="1" applyFill="1" applyBorder="1"/>
    <xf numFmtId="0" fontId="1" fillId="2" borderId="3" xfId="49" applyNumberFormat="1" applyFont="1" applyFill="1" applyBorder="1"/>
    <xf numFmtId="0" fontId="0" fillId="0" borderId="4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5" xfId="49" applyNumberFormat="1" applyFont="1" applyFill="1" applyBorder="1" applyAlignment="1">
      <alignment wrapText="1"/>
    </xf>
    <xf numFmtId="0" fontId="0" fillId="0" borderId="6" xfId="49" applyNumberFormat="1" applyFont="1" applyFill="1" applyBorder="1" applyAlignment="1">
      <alignment wrapText="1"/>
    </xf>
    <xf numFmtId="0" fontId="0" fillId="0" borderId="7" xfId="49" applyNumberFormat="1" applyFont="1" applyFill="1" applyBorder="1" applyAlignment="1">
      <alignment wrapText="1"/>
    </xf>
    <xf numFmtId="0" fontId="0" fillId="0" borderId="8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wrapText="1"/>
    </xf>
    <xf numFmtId="11" fontId="0" fillId="0" borderId="0" xfId="49" applyNumberFormat="1" applyFont="1" applyFill="1" applyBorder="1" applyAlignment="1">
      <alignment wrapText="1"/>
    </xf>
    <xf numFmtId="11" fontId="0" fillId="0" borderId="0" xfId="49" applyNumberFormat="1" applyFont="1" applyFill="1" applyBorder="1"/>
    <xf numFmtId="176" fontId="0" fillId="0" borderId="0" xfId="49" applyNumberFormat="1" applyFont="1" applyFill="1" applyBorder="1"/>
    <xf numFmtId="0" fontId="2" fillId="2" borderId="0" xfId="49" applyNumberFormat="1" applyFont="1" applyFill="1" applyBorder="1"/>
    <xf numFmtId="0" fontId="3" fillId="0" borderId="0" xfId="49" applyNumberFormat="1" applyFont="1" applyFill="1" applyBorder="1"/>
    <xf numFmtId="0" fontId="4" fillId="3" borderId="1" xfId="49" applyNumberFormat="1" applyFont="1" applyFill="1" applyBorder="1"/>
    <xf numFmtId="177" fontId="3" fillId="0" borderId="2" xfId="49" applyNumberFormat="1" applyFont="1" applyFill="1" applyBorder="1"/>
    <xf numFmtId="0" fontId="3" fillId="0" borderId="2" xfId="49" applyNumberFormat="1" applyFont="1" applyFill="1" applyBorder="1"/>
    <xf numFmtId="0" fontId="4" fillId="3" borderId="2" xfId="49" applyNumberFormat="1" applyFont="1" applyFill="1" applyBorder="1"/>
    <xf numFmtId="178" fontId="3" fillId="0" borderId="3" xfId="49" applyNumberFormat="1" applyFont="1" applyFill="1" applyBorder="1"/>
    <xf numFmtId="0" fontId="4" fillId="3" borderId="4" xfId="49" applyNumberFormat="1" applyFont="1" applyFill="1" applyBorder="1"/>
    <xf numFmtId="177" fontId="3" fillId="0" borderId="0" xfId="49" applyNumberFormat="1" applyFont="1" applyFill="1" applyBorder="1"/>
    <xf numFmtId="0" fontId="4" fillId="3" borderId="0" xfId="49" applyNumberFormat="1" applyFont="1" applyFill="1" applyBorder="1"/>
    <xf numFmtId="178" fontId="3" fillId="0" borderId="5" xfId="49" applyNumberFormat="1" applyFont="1" applyFill="1" applyBorder="1"/>
    <xf numFmtId="176" fontId="3" fillId="0" borderId="5" xfId="49" applyNumberFormat="1" applyFont="1" applyFill="1" applyBorder="1"/>
    <xf numFmtId="0" fontId="4" fillId="3" borderId="6" xfId="49" applyNumberFormat="1" applyFont="1" applyFill="1" applyBorder="1"/>
    <xf numFmtId="177" fontId="3" fillId="0" borderId="7" xfId="49" applyNumberFormat="1" applyFont="1" applyFill="1" applyBorder="1"/>
    <xf numFmtId="0" fontId="3" fillId="0" borderId="7" xfId="49" applyNumberFormat="1" applyFont="1" applyFill="1" applyBorder="1"/>
    <xf numFmtId="0" fontId="4" fillId="3" borderId="7" xfId="49" applyNumberFormat="1" applyFont="1" applyFill="1" applyBorder="1"/>
    <xf numFmtId="178" fontId="3" fillId="0" borderId="8" xfId="49" applyNumberFormat="1" applyFont="1" applyFill="1" applyBorder="1"/>
    <xf numFmtId="0" fontId="5" fillId="4" borderId="1" xfId="49" applyNumberFormat="1" applyFont="1" applyFill="1" applyBorder="1"/>
    <xf numFmtId="0" fontId="1" fillId="4" borderId="2" xfId="49" applyNumberFormat="1" applyFont="1" applyFill="1" applyBorder="1"/>
    <xf numFmtId="0" fontId="1" fillId="4" borderId="3" xfId="49" applyNumberFormat="1" applyFont="1" applyFill="1" applyBorder="1"/>
    <xf numFmtId="0" fontId="3" fillId="5" borderId="4" xfId="49" applyNumberFormat="1" applyFont="1" applyFill="1" applyBorder="1" applyAlignment="1">
      <alignment vertical="top" wrapText="1"/>
    </xf>
    <xf numFmtId="0" fontId="3" fillId="5" borderId="0" xfId="49" applyNumberFormat="1" applyFont="1" applyFill="1" applyBorder="1" applyAlignment="1">
      <alignment vertical="top" wrapText="1"/>
    </xf>
    <xf numFmtId="0" fontId="3" fillId="5" borderId="5" xfId="49" applyNumberFormat="1" applyFont="1" applyFill="1" applyBorder="1" applyAlignment="1">
      <alignment vertical="top" wrapText="1"/>
    </xf>
    <xf numFmtId="0" fontId="3" fillId="6" borderId="4" xfId="49" applyNumberFormat="1" applyFont="1" applyFill="1" applyBorder="1" applyAlignment="1">
      <alignment vertical="top" wrapText="1"/>
    </xf>
    <xf numFmtId="0" fontId="3" fillId="6" borderId="0" xfId="49" applyNumberFormat="1" applyFont="1" applyFill="1" applyBorder="1" applyAlignment="1">
      <alignment vertical="top" wrapText="1"/>
    </xf>
    <xf numFmtId="0" fontId="3" fillId="6" borderId="5" xfId="49" applyNumberFormat="1" applyFont="1" applyFill="1" applyBorder="1" applyAlignment="1">
      <alignment vertical="top" wrapText="1"/>
    </xf>
    <xf numFmtId="0" fontId="3" fillId="7" borderId="4" xfId="49" applyNumberFormat="1" applyFont="1" applyFill="1" applyBorder="1" applyAlignment="1">
      <alignment vertical="top" wrapText="1"/>
    </xf>
    <xf numFmtId="0" fontId="3" fillId="7" borderId="0" xfId="49" applyNumberFormat="1" applyFont="1" applyFill="1" applyBorder="1" applyAlignment="1">
      <alignment vertical="top" wrapText="1"/>
    </xf>
    <xf numFmtId="0" fontId="3" fillId="7" borderId="5" xfId="49" applyNumberFormat="1" applyFont="1" applyFill="1" applyBorder="1" applyAlignment="1">
      <alignment vertical="top" wrapText="1"/>
    </xf>
    <xf numFmtId="0" fontId="3" fillId="7" borderId="6" xfId="49" applyNumberFormat="1" applyFont="1" applyFill="1" applyBorder="1" applyAlignment="1">
      <alignment vertical="top" wrapText="1"/>
    </xf>
    <xf numFmtId="0" fontId="3" fillId="7" borderId="7" xfId="49" applyNumberFormat="1" applyFont="1" applyFill="1" applyBorder="1" applyAlignment="1">
      <alignment vertical="top" wrapText="1"/>
    </xf>
    <xf numFmtId="0" fontId="3" fillId="7" borderId="8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ill>
        <patternFill patternType="solid">
          <bgColor rgb="FFE8F5E9"/>
        </patternFill>
      </fill>
    </dxf>
    <dxf>
      <font>
        <b val="1"/>
        <color rgb="FF9A1B1B"/>
      </font>
      <fill>
        <patternFill patternType="solid">
          <bgColor rgb="FFFDECEC"/>
        </patternFill>
      </fill>
    </dxf>
    <dxf>
      <font>
        <color rgb="FF166534"/>
      </font>
      <fill>
        <patternFill patternType="solid">
          <bgColor rgb="FFE8F5E9"/>
        </patternFill>
      </fill>
    </dxf>
    <dxf>
      <font>
        <color rgb="FF854D0E"/>
      </font>
      <fill>
        <patternFill patternType="solid">
          <bgColor rgb="FFFFF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rganMarginsTable" displayName="OrganMarginsTable" ref="A1:Q385" totalsRowShown="0">
  <tableColumns count="17">
    <tableColumn id="1" name="route_id"/>
    <tableColumn id="2" name="route"/>
    <tableColumn id="3" name="capsid_id"/>
    <tableColumn id="4" name="capsid"/>
    <tableColumn id="5" name="organ"/>
    <tableColumn id="6" name="current_dose_vg"/>
    <tableColumn id="7" name="current_dose_vg_per_kg"/>
    <tableColumn id="8" name="current_auc_isf_amount_vg_h"/>
    <tableColumn id="9" name="reference_id"/>
    <tableColumn id="10" name="reference_product"/>
    <tableColumn id="11" name="reference_auc_isf_amount_vg_h"/>
    <tableColumn id="12" name="exposure_margin_reference_over_current"/>
    <tableColumn id="13" name="assessment"/>
    <tableColumn id="14" name="evidence_grade"/>
    <tableColumn id="15" name="comparator_scope"/>
    <tableColumn id="16" name="evidence_note"/>
    <tableColumn id="17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fetyEvidenceTable" displayName="SafetyEvidenceTable" ref="A1:J10" totalsRowShown="0">
  <tableColumns count="10">
    <tableColumn id="1" name="reference_id"/>
    <tableColumn id="2" name="product_or_study"/>
    <tableColumn id="3" name="capsid_or_modality"/>
    <tableColumn id="4" name="route"/>
    <tableColumn id="5" name="dose_value"/>
    <tableColumn id="6" name="dose_unit"/>
    <tableColumn id="7" name="evidence_kind"/>
    <tableColumn id="8" name="model_use"/>
    <tableColumn id="9" name="interpretation_limit"/>
    <tableColumn id="10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workbookViewId="0">
      <selection activeCell="B6" sqref="B6"/>
    </sheetView>
  </sheetViews>
  <sheetFormatPr defaultColWidth="9" defaultRowHeight="16.8" outlineLevelCol="7"/>
  <cols>
    <col min="1" max="1" width="28" customWidth="1"/>
    <col min="2" max="2" width="26.4705882352941" customWidth="1"/>
    <col min="3" max="3" width="3" customWidth="1"/>
    <col min="4" max="4" width="28" customWidth="1"/>
    <col min="5" max="5" width="16" customWidth="1"/>
    <col min="6" max="8" width="12" customWidth="1"/>
  </cols>
  <sheetData>
    <row r="1" ht="30" customHeight="1" spans="1:8">
      <c r="A1" s="14" t="s">
        <v>0</v>
      </c>
      <c r="B1" s="14"/>
      <c r="C1" s="14"/>
      <c r="D1" s="14"/>
      <c r="E1" s="14"/>
      <c r="F1" s="14"/>
      <c r="G1" s="14"/>
      <c r="H1" s="14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>
      <c r="A3" s="16" t="s">
        <v>1</v>
      </c>
      <c r="B3" s="17">
        <v>40000000000000</v>
      </c>
      <c r="C3" s="18"/>
      <c r="D3" s="19" t="s">
        <v>2</v>
      </c>
      <c r="E3" s="20">
        <f>Summary!$B$3/Summary!$B$5</f>
        <v>0.363636363636364</v>
      </c>
      <c r="F3" s="15"/>
      <c r="G3" s="15"/>
      <c r="H3" s="15"/>
    </row>
    <row r="4" spans="1:8">
      <c r="A4" s="21" t="s">
        <v>3</v>
      </c>
      <c r="B4" s="22">
        <v>2800000000000000</v>
      </c>
      <c r="C4" s="15"/>
      <c r="D4" s="23" t="s">
        <v>4</v>
      </c>
      <c r="E4" s="24">
        <f>Summary!$B$3/Summary!$B$6</f>
        <v>0.506329113924051</v>
      </c>
      <c r="F4" s="15"/>
      <c r="G4" s="15"/>
      <c r="H4" s="15"/>
    </row>
    <row r="5" spans="1:8">
      <c r="A5" s="21" t="s">
        <v>5</v>
      </c>
      <c r="B5" s="22">
        <v>110000000000000</v>
      </c>
      <c r="C5" s="15"/>
      <c r="D5" s="23" t="s">
        <v>6</v>
      </c>
      <c r="E5" s="25">
        <f>Summary!$B$6/Summary!$B$3</f>
        <v>1.975</v>
      </c>
      <c r="F5" s="15"/>
      <c r="G5" s="15"/>
      <c r="H5" s="15"/>
    </row>
    <row r="6" spans="1:8">
      <c r="A6" s="21" t="s">
        <v>7</v>
      </c>
      <c r="B6" s="22">
        <v>79000000000000</v>
      </c>
      <c r="C6" s="15"/>
      <c r="D6" s="23" t="s">
        <v>8</v>
      </c>
      <c r="E6" s="25">
        <f>Summary!$B$4/Summary!$B$7</f>
        <v>23.3333333333333</v>
      </c>
      <c r="F6" s="15"/>
      <c r="G6" s="15"/>
      <c r="H6" s="15"/>
    </row>
    <row r="7" spans="1:8">
      <c r="A7" s="21" t="s">
        <v>9</v>
      </c>
      <c r="B7" s="22">
        <v>120000000000000</v>
      </c>
      <c r="C7" s="15"/>
      <c r="D7" s="23" t="s">
        <v>10</v>
      </c>
      <c r="E7" s="25">
        <f>Summary!$B$7/Summary!$B$4</f>
        <v>0.0428571428571429</v>
      </c>
      <c r="F7" s="15"/>
      <c r="G7" s="15"/>
      <c r="H7" s="15"/>
    </row>
    <row r="8" spans="1:8">
      <c r="A8" s="26" t="s">
        <v>11</v>
      </c>
      <c r="B8" s="27">
        <v>180000000000</v>
      </c>
      <c r="C8" s="28"/>
      <c r="D8" s="29" t="s">
        <v>12</v>
      </c>
      <c r="E8" s="30">
        <f>5/8</f>
        <v>0.625</v>
      </c>
      <c r="F8" s="15"/>
      <c r="G8" s="15"/>
      <c r="H8" s="15"/>
    </row>
    <row r="9" spans="1:8">
      <c r="A9" s="15"/>
      <c r="B9" s="15"/>
      <c r="C9" s="15"/>
      <c r="D9" s="15"/>
      <c r="E9" s="15"/>
      <c r="F9" s="15"/>
      <c r="G9" s="15"/>
      <c r="H9" s="15"/>
    </row>
    <row r="10" spans="1:8">
      <c r="A10" s="31" t="s">
        <v>13</v>
      </c>
      <c r="B10" s="32"/>
      <c r="C10" s="32"/>
      <c r="D10" s="32"/>
      <c r="E10" s="32"/>
      <c r="F10" s="32"/>
      <c r="G10" s="32"/>
      <c r="H10" s="33"/>
    </row>
    <row r="11" ht="43" customHeight="1" spans="1:8">
      <c r="A11" s="34" t="s">
        <v>14</v>
      </c>
      <c r="B11" s="35"/>
      <c r="C11" s="35"/>
      <c r="D11" s="35"/>
      <c r="E11" s="35"/>
      <c r="F11" s="35"/>
      <c r="G11" s="35"/>
      <c r="H11" s="36"/>
    </row>
    <row r="12" ht="43" customHeight="1" spans="1:8">
      <c r="A12" s="34" t="s">
        <v>15</v>
      </c>
      <c r="B12" s="35"/>
      <c r="C12" s="35"/>
      <c r="D12" s="35"/>
      <c r="E12" s="35"/>
      <c r="F12" s="35"/>
      <c r="G12" s="35"/>
      <c r="H12" s="36"/>
    </row>
    <row r="13" ht="43" customHeight="1" spans="1:8">
      <c r="A13" s="37" t="s">
        <v>16</v>
      </c>
      <c r="B13" s="38"/>
      <c r="C13" s="38"/>
      <c r="D13" s="38"/>
      <c r="E13" s="38"/>
      <c r="F13" s="38"/>
      <c r="G13" s="38"/>
      <c r="H13" s="39"/>
    </row>
    <row r="14" ht="43" customHeight="1" spans="1:8">
      <c r="A14" s="40" t="s">
        <v>17</v>
      </c>
      <c r="B14" s="41"/>
      <c r="C14" s="41"/>
      <c r="D14" s="41"/>
      <c r="E14" s="41"/>
      <c r="F14" s="41"/>
      <c r="G14" s="41"/>
      <c r="H14" s="42"/>
    </row>
    <row r="15" ht="43" customHeight="1" spans="1:8">
      <c r="A15" s="40" t="s">
        <v>18</v>
      </c>
      <c r="B15" s="41"/>
      <c r="C15" s="41"/>
      <c r="D15" s="41"/>
      <c r="E15" s="41"/>
      <c r="F15" s="41"/>
      <c r="G15" s="41"/>
      <c r="H15" s="42"/>
    </row>
    <row r="16" ht="43" customHeight="1" spans="1:8">
      <c r="A16" s="43" t="s">
        <v>19</v>
      </c>
      <c r="B16" s="44"/>
      <c r="C16" s="44"/>
      <c r="D16" s="44"/>
      <c r="E16" s="44"/>
      <c r="F16" s="44"/>
      <c r="G16" s="44"/>
      <c r="H16" s="45"/>
    </row>
  </sheetData>
  <mergeCells count="8">
    <mergeCell ref="A1:H1"/>
    <mergeCell ref="A10:H10"/>
    <mergeCell ref="A11:H11"/>
    <mergeCell ref="A12:H12"/>
    <mergeCell ref="A13:H13"/>
    <mergeCell ref="A14:H14"/>
    <mergeCell ref="A15:H15"/>
    <mergeCell ref="A16:H16"/>
  </mergeCells>
  <conditionalFormatting sqref="B3">
    <cfRule type="cellIs" dxfId="0" priority="1" operator="lessThan">
      <formula>Summary!$B$6</formula>
    </cfRule>
  </conditionalFormatting>
  <conditionalFormatting sqref="E6">
    <cfRule type="cellIs" dxfId="1" priority="2" operator="greaterThan">
      <formula>1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5"/>
  <sheetViews>
    <sheetView showGridLines="0" tabSelected="1" topLeftCell="A34" workbookViewId="0">
      <selection activeCell="B90" sqref="B90"/>
    </sheetView>
  </sheetViews>
  <sheetFormatPr defaultColWidth="9" defaultRowHeight="16.8"/>
  <cols>
    <col min="1" max="1" width="14" customWidth="1"/>
    <col min="2" max="2" width="24" customWidth="1"/>
    <col min="3" max="5" width="13" customWidth="1"/>
    <col min="6" max="12" width="18" customWidth="1"/>
    <col min="13" max="14" width="30" customWidth="1"/>
    <col min="15" max="16" width="40" customWidth="1"/>
    <col min="17" max="17" width="42" customWidth="1"/>
  </cols>
  <sheetData>
    <row r="1" ht="36" customHeight="1" spans="1:17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</row>
    <row r="2" ht="34" spans="1:1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s="12">
        <v>2800000000000000</v>
      </c>
      <c r="G2" s="12">
        <v>40000000000000</v>
      </c>
      <c r="H2" s="12">
        <v>4284333416421.11</v>
      </c>
      <c r="I2" s="12" t="s">
        <v>42</v>
      </c>
      <c r="J2" s="12" t="s">
        <v>43</v>
      </c>
      <c r="K2" s="12">
        <v>43914106553260.9</v>
      </c>
      <c r="L2" s="13">
        <v>10.2499274181009</v>
      </c>
      <c r="M2" s="5" t="s">
        <v>44</v>
      </c>
      <c r="N2" s="5" t="s">
        <v>45</v>
      </c>
      <c r="O2" s="5" t="s">
        <v>46</v>
      </c>
      <c r="P2" s="5" t="s">
        <v>47</v>
      </c>
      <c r="Q2" s="5" t="s">
        <v>48</v>
      </c>
    </row>
    <row r="3" ht="34" spans="1:17">
      <c r="A3" t="s">
        <v>37</v>
      </c>
      <c r="B3" t="s">
        <v>38</v>
      </c>
      <c r="C3" t="s">
        <v>39</v>
      </c>
      <c r="D3" t="s">
        <v>40</v>
      </c>
      <c r="E3" t="s">
        <v>49</v>
      </c>
      <c r="F3" s="12">
        <v>2800000000000000</v>
      </c>
      <c r="G3" s="12">
        <v>40000000000000</v>
      </c>
      <c r="H3" s="12">
        <v>67419983029864.3</v>
      </c>
      <c r="I3" s="12" t="s">
        <v>42</v>
      </c>
      <c r="J3" s="12" t="s">
        <v>43</v>
      </c>
      <c r="K3" s="12">
        <v>350019743562849</v>
      </c>
      <c r="L3" s="13">
        <v>5.19163203301022</v>
      </c>
      <c r="M3" s="5" t="s">
        <v>44</v>
      </c>
      <c r="N3" s="5" t="s">
        <v>45</v>
      </c>
      <c r="O3" s="5" t="s">
        <v>46</v>
      </c>
      <c r="P3" s="5" t="s">
        <v>47</v>
      </c>
      <c r="Q3" s="5" t="s">
        <v>48</v>
      </c>
    </row>
    <row r="4" ht="34" spans="1:17">
      <c r="A4" t="s">
        <v>37</v>
      </c>
      <c r="B4" t="s">
        <v>38</v>
      </c>
      <c r="C4" t="s">
        <v>39</v>
      </c>
      <c r="D4" t="s">
        <v>40</v>
      </c>
      <c r="E4" t="s">
        <v>50</v>
      </c>
      <c r="F4" s="12">
        <v>2800000000000000</v>
      </c>
      <c r="G4" s="12">
        <v>40000000000000</v>
      </c>
      <c r="H4" s="12">
        <v>174279836978513</v>
      </c>
      <c r="I4" s="12" t="s">
        <v>42</v>
      </c>
      <c r="J4" s="12" t="s">
        <v>43</v>
      </c>
      <c r="K4" s="12">
        <v>591413525762166</v>
      </c>
      <c r="L4" s="13">
        <v>3.39347073084008</v>
      </c>
      <c r="M4" s="5" t="s">
        <v>44</v>
      </c>
      <c r="N4" s="5" t="s">
        <v>45</v>
      </c>
      <c r="O4" s="5" t="s">
        <v>46</v>
      </c>
      <c r="P4" s="5" t="s">
        <v>47</v>
      </c>
      <c r="Q4" s="5" t="s">
        <v>48</v>
      </c>
    </row>
    <row r="5" ht="34" spans="1:17">
      <c r="A5" t="s">
        <v>37</v>
      </c>
      <c r="B5" t="s">
        <v>38</v>
      </c>
      <c r="C5" t="s">
        <v>39</v>
      </c>
      <c r="D5" t="s">
        <v>40</v>
      </c>
      <c r="E5" t="s">
        <v>51</v>
      </c>
      <c r="F5" s="12">
        <v>2800000000000000</v>
      </c>
      <c r="G5" s="12">
        <v>40000000000000</v>
      </c>
      <c r="H5" s="12">
        <v>905087819304261</v>
      </c>
      <c r="I5" s="12" t="s">
        <v>42</v>
      </c>
      <c r="J5" s="12" t="s">
        <v>43</v>
      </c>
      <c r="K5" s="12">
        <v>4263944456518340</v>
      </c>
      <c r="L5" s="13">
        <v>4.71108368223983</v>
      </c>
      <c r="M5" s="5" t="s">
        <v>44</v>
      </c>
      <c r="N5" s="5" t="s">
        <v>45</v>
      </c>
      <c r="O5" s="5" t="s">
        <v>46</v>
      </c>
      <c r="P5" s="5" t="s">
        <v>47</v>
      </c>
      <c r="Q5" s="5" t="s">
        <v>48</v>
      </c>
    </row>
    <row r="6" ht="34" spans="1:17">
      <c r="A6" t="s">
        <v>37</v>
      </c>
      <c r="B6" t="s">
        <v>38</v>
      </c>
      <c r="C6" t="s">
        <v>39</v>
      </c>
      <c r="D6" t="s">
        <v>40</v>
      </c>
      <c r="E6" t="s">
        <v>52</v>
      </c>
      <c r="F6" s="12">
        <v>2800000000000000</v>
      </c>
      <c r="G6" s="12">
        <v>40000000000000</v>
      </c>
      <c r="H6" s="12">
        <v>807027502043650</v>
      </c>
      <c r="I6" s="12" t="s">
        <v>42</v>
      </c>
      <c r="J6" s="12" t="s">
        <v>43</v>
      </c>
      <c r="K6" s="12">
        <v>1780232629144470</v>
      </c>
      <c r="L6" s="13">
        <v>2.20591321192445</v>
      </c>
      <c r="M6" s="5" t="s">
        <v>44</v>
      </c>
      <c r="N6" s="5" t="s">
        <v>45</v>
      </c>
      <c r="O6" s="5" t="s">
        <v>46</v>
      </c>
      <c r="P6" s="5" t="s">
        <v>47</v>
      </c>
      <c r="Q6" s="5" t="s">
        <v>48</v>
      </c>
    </row>
    <row r="7" ht="34" spans="1:17">
      <c r="A7" t="s">
        <v>37</v>
      </c>
      <c r="B7" t="s">
        <v>38</v>
      </c>
      <c r="C7" t="s">
        <v>39</v>
      </c>
      <c r="D7" t="s">
        <v>40</v>
      </c>
      <c r="E7" t="s">
        <v>53</v>
      </c>
      <c r="F7" s="12">
        <v>2800000000000000</v>
      </c>
      <c r="G7" s="12">
        <v>40000000000000</v>
      </c>
      <c r="H7" s="12">
        <v>2052060479885510</v>
      </c>
      <c r="I7" s="12" t="s">
        <v>42</v>
      </c>
      <c r="J7" s="12" t="s">
        <v>43</v>
      </c>
      <c r="K7" s="12">
        <v>1.21785188079008e+16</v>
      </c>
      <c r="L7" s="13">
        <v>5.93477576673585</v>
      </c>
      <c r="M7" s="5" t="s">
        <v>44</v>
      </c>
      <c r="N7" s="5" t="s">
        <v>45</v>
      </c>
      <c r="O7" s="5" t="s">
        <v>46</v>
      </c>
      <c r="P7" s="5" t="s">
        <v>47</v>
      </c>
      <c r="Q7" s="5" t="s">
        <v>48</v>
      </c>
    </row>
    <row r="8" ht="34" spans="1:17">
      <c r="A8" t="s">
        <v>37</v>
      </c>
      <c r="B8" t="s">
        <v>38</v>
      </c>
      <c r="C8" t="s">
        <v>39</v>
      </c>
      <c r="D8" t="s">
        <v>40</v>
      </c>
      <c r="E8" t="s">
        <v>54</v>
      </c>
      <c r="F8" s="12">
        <v>2800000000000000</v>
      </c>
      <c r="G8" s="12">
        <v>40000000000000</v>
      </c>
      <c r="H8" s="12">
        <v>3654270697356420</v>
      </c>
      <c r="I8" s="12" t="s">
        <v>42</v>
      </c>
      <c r="J8" s="12" t="s">
        <v>43</v>
      </c>
      <c r="K8" s="12">
        <v>1.50315736091863e+16</v>
      </c>
      <c r="L8" s="13">
        <v>4.11342641366456</v>
      </c>
      <c r="M8" s="5" t="s">
        <v>44</v>
      </c>
      <c r="N8" s="5" t="s">
        <v>45</v>
      </c>
      <c r="O8" s="5" t="s">
        <v>46</v>
      </c>
      <c r="P8" s="5" t="s">
        <v>47</v>
      </c>
      <c r="Q8" s="5" t="s">
        <v>48</v>
      </c>
    </row>
    <row r="9" ht="34" spans="1:17">
      <c r="A9" t="s">
        <v>37</v>
      </c>
      <c r="B9" t="s">
        <v>38</v>
      </c>
      <c r="C9" t="s">
        <v>39</v>
      </c>
      <c r="D9" t="s">
        <v>40</v>
      </c>
      <c r="E9" t="s">
        <v>55</v>
      </c>
      <c r="F9" s="12">
        <v>2800000000000000</v>
      </c>
      <c r="G9" s="12">
        <v>40000000000000</v>
      </c>
      <c r="H9" s="12">
        <v>164789320370582</v>
      </c>
      <c r="I9" s="12" t="s">
        <v>42</v>
      </c>
      <c r="J9" s="12" t="s">
        <v>43</v>
      </c>
      <c r="K9" s="12">
        <v>368026709578865</v>
      </c>
      <c r="L9" s="13">
        <v>2.2333165083225</v>
      </c>
      <c r="M9" s="5" t="s">
        <v>44</v>
      </c>
      <c r="N9" s="5" t="s">
        <v>45</v>
      </c>
      <c r="O9" s="5" t="s">
        <v>46</v>
      </c>
      <c r="P9" s="5" t="s">
        <v>47</v>
      </c>
      <c r="Q9" s="5" t="s">
        <v>48</v>
      </c>
    </row>
    <row r="10" ht="34" spans="1:17">
      <c r="A10" t="s">
        <v>37</v>
      </c>
      <c r="B10" t="s">
        <v>38</v>
      </c>
      <c r="C10" t="s">
        <v>56</v>
      </c>
      <c r="D10" t="s">
        <v>57</v>
      </c>
      <c r="E10" t="s">
        <v>41</v>
      </c>
      <c r="F10" s="12">
        <v>2800000000000000</v>
      </c>
      <c r="G10" s="12">
        <v>40000000000000</v>
      </c>
      <c r="H10" s="12">
        <v>4732579210592.19</v>
      </c>
      <c r="I10" s="12" t="s">
        <v>42</v>
      </c>
      <c r="J10" s="12" t="s">
        <v>43</v>
      </c>
      <c r="K10" s="12">
        <v>43914106553260.9</v>
      </c>
      <c r="L10" s="13">
        <v>9.27910650813299</v>
      </c>
      <c r="M10" s="5" t="s">
        <v>44</v>
      </c>
      <c r="N10" s="5" t="s">
        <v>45</v>
      </c>
      <c r="O10" s="5" t="s">
        <v>46</v>
      </c>
      <c r="P10" s="5" t="s">
        <v>47</v>
      </c>
      <c r="Q10" s="5" t="s">
        <v>48</v>
      </c>
    </row>
    <row r="11" ht="34" spans="1:17">
      <c r="A11" t="s">
        <v>37</v>
      </c>
      <c r="B11" t="s">
        <v>38</v>
      </c>
      <c r="C11" t="s">
        <v>56</v>
      </c>
      <c r="D11" t="s">
        <v>57</v>
      </c>
      <c r="E11" t="s">
        <v>49</v>
      </c>
      <c r="F11" s="12">
        <v>2800000000000000</v>
      </c>
      <c r="G11" s="12">
        <v>40000000000000</v>
      </c>
      <c r="H11" s="12">
        <v>60629703186547.2</v>
      </c>
      <c r="I11" s="12" t="s">
        <v>42</v>
      </c>
      <c r="J11" s="12" t="s">
        <v>43</v>
      </c>
      <c r="K11" s="12">
        <v>350019743562849</v>
      </c>
      <c r="L11" s="13">
        <v>5.77307367786213</v>
      </c>
      <c r="M11" s="5" t="s">
        <v>44</v>
      </c>
      <c r="N11" s="5" t="s">
        <v>45</v>
      </c>
      <c r="O11" s="5" t="s">
        <v>46</v>
      </c>
      <c r="P11" s="5" t="s">
        <v>47</v>
      </c>
      <c r="Q11" s="5" t="s">
        <v>48</v>
      </c>
    </row>
    <row r="12" ht="34" spans="1:17">
      <c r="A12" t="s">
        <v>37</v>
      </c>
      <c r="B12" t="s">
        <v>38</v>
      </c>
      <c r="C12" t="s">
        <v>56</v>
      </c>
      <c r="D12" t="s">
        <v>57</v>
      </c>
      <c r="E12" t="s">
        <v>50</v>
      </c>
      <c r="F12" s="12">
        <v>2800000000000000</v>
      </c>
      <c r="G12" s="12">
        <v>40000000000000</v>
      </c>
      <c r="H12" s="12">
        <v>180743617029951</v>
      </c>
      <c r="I12" s="12" t="s">
        <v>42</v>
      </c>
      <c r="J12" s="12" t="s">
        <v>43</v>
      </c>
      <c r="K12" s="12">
        <v>591413525762166</v>
      </c>
      <c r="L12" s="13">
        <v>3.27211292703167</v>
      </c>
      <c r="M12" s="5" t="s">
        <v>44</v>
      </c>
      <c r="N12" s="5" t="s">
        <v>45</v>
      </c>
      <c r="O12" s="5" t="s">
        <v>46</v>
      </c>
      <c r="P12" s="5" t="s">
        <v>47</v>
      </c>
      <c r="Q12" s="5" t="s">
        <v>48</v>
      </c>
    </row>
    <row r="13" ht="34" spans="1:17">
      <c r="A13" t="s">
        <v>37</v>
      </c>
      <c r="B13" t="s">
        <v>38</v>
      </c>
      <c r="C13" t="s">
        <v>56</v>
      </c>
      <c r="D13" t="s">
        <v>57</v>
      </c>
      <c r="E13" t="s">
        <v>51</v>
      </c>
      <c r="F13" s="12">
        <v>2800000000000000</v>
      </c>
      <c r="G13" s="12">
        <v>40000000000000</v>
      </c>
      <c r="H13" s="12">
        <v>1429114062979660</v>
      </c>
      <c r="I13" s="12" t="s">
        <v>42</v>
      </c>
      <c r="J13" s="12" t="s">
        <v>43</v>
      </c>
      <c r="K13" s="12">
        <v>4263944456518340</v>
      </c>
      <c r="L13" s="13">
        <v>2.98362780618654</v>
      </c>
      <c r="M13" s="5" t="s">
        <v>44</v>
      </c>
      <c r="N13" s="5" t="s">
        <v>45</v>
      </c>
      <c r="O13" s="5" t="s">
        <v>46</v>
      </c>
      <c r="P13" s="5" t="s">
        <v>47</v>
      </c>
      <c r="Q13" s="5" t="s">
        <v>48</v>
      </c>
    </row>
    <row r="14" ht="34" spans="1:17">
      <c r="A14" t="s">
        <v>37</v>
      </c>
      <c r="B14" t="s">
        <v>38</v>
      </c>
      <c r="C14" t="s">
        <v>56</v>
      </c>
      <c r="D14" t="s">
        <v>57</v>
      </c>
      <c r="E14" t="s">
        <v>52</v>
      </c>
      <c r="F14" s="12">
        <v>2800000000000000</v>
      </c>
      <c r="G14" s="12">
        <v>40000000000000</v>
      </c>
      <c r="H14" s="12">
        <v>1537437337352710</v>
      </c>
      <c r="I14" s="12" t="s">
        <v>42</v>
      </c>
      <c r="J14" s="12" t="s">
        <v>43</v>
      </c>
      <c r="K14" s="12">
        <v>1780232629144470</v>
      </c>
      <c r="L14" s="13">
        <v>1.15792207324028</v>
      </c>
      <c r="M14" s="5" t="s">
        <v>44</v>
      </c>
      <c r="N14" s="5" t="s">
        <v>45</v>
      </c>
      <c r="O14" s="5" t="s">
        <v>46</v>
      </c>
      <c r="P14" s="5" t="s">
        <v>47</v>
      </c>
      <c r="Q14" s="5" t="s">
        <v>48</v>
      </c>
    </row>
    <row r="15" ht="34" spans="1:17">
      <c r="A15" t="s">
        <v>37</v>
      </c>
      <c r="B15" t="s">
        <v>38</v>
      </c>
      <c r="C15" t="s">
        <v>56</v>
      </c>
      <c r="D15" t="s">
        <v>57</v>
      </c>
      <c r="E15" t="s">
        <v>53</v>
      </c>
      <c r="F15" s="12">
        <v>2800000000000000</v>
      </c>
      <c r="G15" s="12">
        <v>40000000000000</v>
      </c>
      <c r="H15" s="12">
        <v>2027781743059360</v>
      </c>
      <c r="I15" s="12" t="s">
        <v>42</v>
      </c>
      <c r="J15" s="12" t="s">
        <v>43</v>
      </c>
      <c r="K15" s="12">
        <v>1.21785188079008e+16</v>
      </c>
      <c r="L15" s="13">
        <v>6.00583314727294</v>
      </c>
      <c r="M15" s="5" t="s">
        <v>44</v>
      </c>
      <c r="N15" s="5" t="s">
        <v>45</v>
      </c>
      <c r="O15" s="5" t="s">
        <v>46</v>
      </c>
      <c r="P15" s="5" t="s">
        <v>47</v>
      </c>
      <c r="Q15" s="5" t="s">
        <v>48</v>
      </c>
    </row>
    <row r="16" ht="34" spans="1:17">
      <c r="A16" t="s">
        <v>37</v>
      </c>
      <c r="B16" t="s">
        <v>38</v>
      </c>
      <c r="C16" t="s">
        <v>56</v>
      </c>
      <c r="D16" t="s">
        <v>57</v>
      </c>
      <c r="E16" t="s">
        <v>54</v>
      </c>
      <c r="F16" s="12">
        <v>2800000000000000</v>
      </c>
      <c r="G16" s="12">
        <v>40000000000000</v>
      </c>
      <c r="H16" s="12">
        <v>4372009752392060</v>
      </c>
      <c r="I16" s="12" t="s">
        <v>42</v>
      </c>
      <c r="J16" s="12" t="s">
        <v>43</v>
      </c>
      <c r="K16" s="12">
        <v>1.50315736091863e+16</v>
      </c>
      <c r="L16" s="13">
        <v>3.43813816997138</v>
      </c>
      <c r="M16" s="5" t="s">
        <v>44</v>
      </c>
      <c r="N16" s="5" t="s">
        <v>45</v>
      </c>
      <c r="O16" s="5" t="s">
        <v>46</v>
      </c>
      <c r="P16" s="5" t="s">
        <v>47</v>
      </c>
      <c r="Q16" s="5" t="s">
        <v>48</v>
      </c>
    </row>
    <row r="17" ht="34" spans="1:17">
      <c r="A17" t="s">
        <v>37</v>
      </c>
      <c r="B17" t="s">
        <v>38</v>
      </c>
      <c r="C17" t="s">
        <v>56</v>
      </c>
      <c r="D17" t="s">
        <v>57</v>
      </c>
      <c r="E17" t="s">
        <v>55</v>
      </c>
      <c r="F17" s="12">
        <v>2800000000000000</v>
      </c>
      <c r="G17" s="12">
        <v>40000000000000</v>
      </c>
      <c r="H17" s="12">
        <v>170114098117066</v>
      </c>
      <c r="I17" s="12" t="s">
        <v>42</v>
      </c>
      <c r="J17" s="12" t="s">
        <v>43</v>
      </c>
      <c r="K17" s="12">
        <v>368026709578865</v>
      </c>
      <c r="L17" s="13">
        <v>2.16341099093153</v>
      </c>
      <c r="M17" s="5" t="s">
        <v>44</v>
      </c>
      <c r="N17" s="5" t="s">
        <v>45</v>
      </c>
      <c r="O17" s="5" t="s">
        <v>46</v>
      </c>
      <c r="P17" s="5" t="s">
        <v>47</v>
      </c>
      <c r="Q17" s="5" t="s">
        <v>48</v>
      </c>
    </row>
    <row r="18" ht="34" spans="1:17">
      <c r="A18" t="s">
        <v>37</v>
      </c>
      <c r="B18" t="s">
        <v>38</v>
      </c>
      <c r="C18" t="s">
        <v>58</v>
      </c>
      <c r="D18" t="s">
        <v>59</v>
      </c>
      <c r="E18" t="s">
        <v>41</v>
      </c>
      <c r="F18" s="12">
        <v>2800000000000000</v>
      </c>
      <c r="G18" s="12">
        <v>40000000000000</v>
      </c>
      <c r="H18" s="12">
        <v>3608197489461.14</v>
      </c>
      <c r="I18" s="12" t="s">
        <v>42</v>
      </c>
      <c r="J18" s="12" t="s">
        <v>43</v>
      </c>
      <c r="K18" s="12">
        <v>43914106553260.9</v>
      </c>
      <c r="L18" s="13">
        <v>12.1706493842218</v>
      </c>
      <c r="M18" s="5" t="s">
        <v>44</v>
      </c>
      <c r="N18" s="5" t="s">
        <v>45</v>
      </c>
      <c r="O18" s="5" t="s">
        <v>46</v>
      </c>
      <c r="P18" s="5" t="s">
        <v>47</v>
      </c>
      <c r="Q18" s="5" t="s">
        <v>48</v>
      </c>
    </row>
    <row r="19" ht="34" spans="1:17">
      <c r="A19" t="s">
        <v>37</v>
      </c>
      <c r="B19" t="s">
        <v>38</v>
      </c>
      <c r="C19" t="s">
        <v>58</v>
      </c>
      <c r="D19" t="s">
        <v>59</v>
      </c>
      <c r="E19" t="s">
        <v>49</v>
      </c>
      <c r="F19" s="12">
        <v>2800000000000000</v>
      </c>
      <c r="G19" s="12">
        <v>40000000000000</v>
      </c>
      <c r="H19" s="12">
        <v>137208569558418</v>
      </c>
      <c r="I19" s="12" t="s">
        <v>42</v>
      </c>
      <c r="J19" s="12" t="s">
        <v>43</v>
      </c>
      <c r="K19" s="12">
        <v>350019743562849</v>
      </c>
      <c r="L19" s="13">
        <v>2.55100497504876</v>
      </c>
      <c r="M19" s="5" t="s">
        <v>44</v>
      </c>
      <c r="N19" s="5" t="s">
        <v>45</v>
      </c>
      <c r="O19" s="5" t="s">
        <v>46</v>
      </c>
      <c r="P19" s="5" t="s">
        <v>47</v>
      </c>
      <c r="Q19" s="5" t="s">
        <v>48</v>
      </c>
    </row>
    <row r="20" ht="34" spans="1:17">
      <c r="A20" t="s">
        <v>37</v>
      </c>
      <c r="B20" t="s">
        <v>38</v>
      </c>
      <c r="C20" t="s">
        <v>58</v>
      </c>
      <c r="D20" t="s">
        <v>59</v>
      </c>
      <c r="E20" t="s">
        <v>50</v>
      </c>
      <c r="F20" s="12">
        <v>2800000000000000</v>
      </c>
      <c r="G20" s="12">
        <v>40000000000000</v>
      </c>
      <c r="H20" s="12">
        <v>276209722621259</v>
      </c>
      <c r="I20" s="12" t="s">
        <v>42</v>
      </c>
      <c r="J20" s="12" t="s">
        <v>43</v>
      </c>
      <c r="K20" s="12">
        <v>591413525762166</v>
      </c>
      <c r="L20" s="13">
        <v>2.14117562607713</v>
      </c>
      <c r="M20" s="5" t="s">
        <v>44</v>
      </c>
      <c r="N20" s="5" t="s">
        <v>45</v>
      </c>
      <c r="O20" s="5" t="s">
        <v>46</v>
      </c>
      <c r="P20" s="5" t="s">
        <v>47</v>
      </c>
      <c r="Q20" s="5" t="s">
        <v>48</v>
      </c>
    </row>
    <row r="21" ht="34" spans="1:17">
      <c r="A21" t="s">
        <v>37</v>
      </c>
      <c r="B21" t="s">
        <v>38</v>
      </c>
      <c r="C21" t="s">
        <v>58</v>
      </c>
      <c r="D21" t="s">
        <v>59</v>
      </c>
      <c r="E21" t="s">
        <v>51</v>
      </c>
      <c r="F21" s="12">
        <v>2800000000000000</v>
      </c>
      <c r="G21" s="12">
        <v>40000000000000</v>
      </c>
      <c r="H21" s="12">
        <v>3674114418586110</v>
      </c>
      <c r="I21" s="12" t="s">
        <v>42</v>
      </c>
      <c r="J21" s="12" t="s">
        <v>43</v>
      </c>
      <c r="K21" s="12">
        <v>4263944456518340</v>
      </c>
      <c r="L21" s="13">
        <v>1.160536654751</v>
      </c>
      <c r="M21" s="5" t="s">
        <v>44</v>
      </c>
      <c r="N21" s="5" t="s">
        <v>45</v>
      </c>
      <c r="O21" s="5" t="s">
        <v>46</v>
      </c>
      <c r="P21" s="5" t="s">
        <v>47</v>
      </c>
      <c r="Q21" s="5" t="s">
        <v>48</v>
      </c>
    </row>
    <row r="22" ht="34" spans="1:17">
      <c r="A22" t="s">
        <v>37</v>
      </c>
      <c r="B22" t="s">
        <v>38</v>
      </c>
      <c r="C22" t="s">
        <v>58</v>
      </c>
      <c r="D22" t="s">
        <v>59</v>
      </c>
      <c r="E22" t="s">
        <v>52</v>
      </c>
      <c r="F22" s="12">
        <v>2800000000000000</v>
      </c>
      <c r="G22" s="12">
        <v>40000000000000</v>
      </c>
      <c r="H22" s="12">
        <v>669426831285962</v>
      </c>
      <c r="I22" s="12" t="s">
        <v>42</v>
      </c>
      <c r="J22" s="12" t="s">
        <v>43</v>
      </c>
      <c r="K22" s="12">
        <v>1780232629144470</v>
      </c>
      <c r="L22" s="13">
        <v>2.65933862514095</v>
      </c>
      <c r="M22" s="5" t="s">
        <v>44</v>
      </c>
      <c r="N22" s="5" t="s">
        <v>45</v>
      </c>
      <c r="O22" s="5" t="s">
        <v>46</v>
      </c>
      <c r="P22" s="5" t="s">
        <v>47</v>
      </c>
      <c r="Q22" s="5" t="s">
        <v>48</v>
      </c>
    </row>
    <row r="23" ht="34" spans="1:17">
      <c r="A23" t="s">
        <v>37</v>
      </c>
      <c r="B23" t="s">
        <v>38</v>
      </c>
      <c r="C23" t="s">
        <v>58</v>
      </c>
      <c r="D23" t="s">
        <v>59</v>
      </c>
      <c r="E23" t="s">
        <v>53</v>
      </c>
      <c r="F23" s="12">
        <v>2800000000000000</v>
      </c>
      <c r="G23" s="12">
        <v>40000000000000</v>
      </c>
      <c r="H23" s="12">
        <v>5911635498753090</v>
      </c>
      <c r="I23" s="12" t="s">
        <v>42</v>
      </c>
      <c r="J23" s="12" t="s">
        <v>43</v>
      </c>
      <c r="K23" s="12">
        <v>1.21785188079008e+16</v>
      </c>
      <c r="L23" s="13">
        <v>2.06009298280815</v>
      </c>
      <c r="M23" s="5" t="s">
        <v>44</v>
      </c>
      <c r="N23" s="5" t="s">
        <v>45</v>
      </c>
      <c r="O23" s="5" t="s">
        <v>46</v>
      </c>
      <c r="P23" s="5" t="s">
        <v>47</v>
      </c>
      <c r="Q23" s="5" t="s">
        <v>48</v>
      </c>
    </row>
    <row r="24" ht="34" spans="1:17">
      <c r="A24" t="s">
        <v>37</v>
      </c>
      <c r="B24" t="s">
        <v>38</v>
      </c>
      <c r="C24" t="s">
        <v>58</v>
      </c>
      <c r="D24" t="s">
        <v>59</v>
      </c>
      <c r="E24" t="s">
        <v>54</v>
      </c>
      <c r="F24" s="12">
        <v>2800000000000000</v>
      </c>
      <c r="G24" s="12">
        <v>40000000000000</v>
      </c>
      <c r="H24" s="12">
        <v>7023886649472690</v>
      </c>
      <c r="I24" s="12" t="s">
        <v>42</v>
      </c>
      <c r="J24" s="12" t="s">
        <v>43</v>
      </c>
      <c r="K24" s="12">
        <v>1.50315736091863e+16</v>
      </c>
      <c r="L24" s="13">
        <v>2.1400649468503</v>
      </c>
      <c r="M24" s="5" t="s">
        <v>44</v>
      </c>
      <c r="N24" s="5" t="s">
        <v>45</v>
      </c>
      <c r="O24" s="5" t="s">
        <v>46</v>
      </c>
      <c r="P24" s="5" t="s">
        <v>47</v>
      </c>
      <c r="Q24" s="5" t="s">
        <v>48</v>
      </c>
    </row>
    <row r="25" ht="34" spans="1:17">
      <c r="A25" t="s">
        <v>37</v>
      </c>
      <c r="B25" t="s">
        <v>38</v>
      </c>
      <c r="C25" t="s">
        <v>58</v>
      </c>
      <c r="D25" t="s">
        <v>59</v>
      </c>
      <c r="E25" t="s">
        <v>55</v>
      </c>
      <c r="F25" s="12">
        <v>2800000000000000</v>
      </c>
      <c r="G25" s="12">
        <v>40000000000000</v>
      </c>
      <c r="H25" s="12">
        <v>150213374720446</v>
      </c>
      <c r="I25" s="12" t="s">
        <v>42</v>
      </c>
      <c r="J25" s="12" t="s">
        <v>43</v>
      </c>
      <c r="K25" s="12">
        <v>368026709578865</v>
      </c>
      <c r="L25" s="13">
        <v>2.45002623943294</v>
      </c>
      <c r="M25" s="5" t="s">
        <v>44</v>
      </c>
      <c r="N25" s="5" t="s">
        <v>45</v>
      </c>
      <c r="O25" s="5" t="s">
        <v>46</v>
      </c>
      <c r="P25" s="5" t="s">
        <v>47</v>
      </c>
      <c r="Q25" s="5" t="s">
        <v>48</v>
      </c>
    </row>
    <row r="26" ht="34" spans="1:17">
      <c r="A26" t="s">
        <v>37</v>
      </c>
      <c r="B26" t="s">
        <v>38</v>
      </c>
      <c r="C26" t="s">
        <v>60</v>
      </c>
      <c r="D26" t="s">
        <v>61</v>
      </c>
      <c r="E26" t="s">
        <v>41</v>
      </c>
      <c r="F26" s="12">
        <v>2800000000000000</v>
      </c>
      <c r="G26" s="12">
        <v>40000000000000</v>
      </c>
      <c r="H26" s="12">
        <v>22232626802797.8</v>
      </c>
      <c r="I26" s="12" t="s">
        <v>42</v>
      </c>
      <c r="J26" s="12" t="s">
        <v>43</v>
      </c>
      <c r="K26" s="12">
        <v>43914106553260.9</v>
      </c>
      <c r="L26" s="13">
        <v>1.97520998947972</v>
      </c>
      <c r="M26" s="5" t="s">
        <v>62</v>
      </c>
      <c r="N26" s="5" t="s">
        <v>63</v>
      </c>
      <c r="O26" s="5" t="s">
        <v>46</v>
      </c>
      <c r="P26" s="5" t="s">
        <v>64</v>
      </c>
      <c r="Q26" s="5" t="s">
        <v>48</v>
      </c>
    </row>
    <row r="27" ht="34" spans="1:17">
      <c r="A27" t="s">
        <v>37</v>
      </c>
      <c r="B27" t="s">
        <v>38</v>
      </c>
      <c r="C27" t="s">
        <v>60</v>
      </c>
      <c r="D27" t="s">
        <v>61</v>
      </c>
      <c r="E27" t="s">
        <v>49</v>
      </c>
      <c r="F27" s="12">
        <v>2800000000000000</v>
      </c>
      <c r="G27" s="12">
        <v>40000000000000</v>
      </c>
      <c r="H27" s="12">
        <v>177123518776454</v>
      </c>
      <c r="I27" s="12" t="s">
        <v>42</v>
      </c>
      <c r="J27" s="12" t="s">
        <v>43</v>
      </c>
      <c r="K27" s="12">
        <v>350019743562849</v>
      </c>
      <c r="L27" s="13">
        <v>1.97613363815681</v>
      </c>
      <c r="M27" s="5" t="s">
        <v>62</v>
      </c>
      <c r="N27" s="5" t="s">
        <v>65</v>
      </c>
      <c r="O27" s="5" t="s">
        <v>46</v>
      </c>
      <c r="P27" s="5" t="s">
        <v>66</v>
      </c>
      <c r="Q27" s="5" t="s">
        <v>48</v>
      </c>
    </row>
    <row r="28" ht="34" spans="1:17">
      <c r="A28" t="s">
        <v>37</v>
      </c>
      <c r="B28" t="s">
        <v>38</v>
      </c>
      <c r="C28" t="s">
        <v>60</v>
      </c>
      <c r="D28" t="s">
        <v>61</v>
      </c>
      <c r="E28" t="s">
        <v>50</v>
      </c>
      <c r="F28" s="12">
        <v>2800000000000000</v>
      </c>
      <c r="G28" s="12">
        <v>40000000000000</v>
      </c>
      <c r="H28" s="12">
        <v>299166136428407</v>
      </c>
      <c r="I28" s="12" t="s">
        <v>42</v>
      </c>
      <c r="J28" s="12" t="s">
        <v>43</v>
      </c>
      <c r="K28" s="12">
        <v>591413525762166</v>
      </c>
      <c r="L28" s="13">
        <v>1.97687322777488</v>
      </c>
      <c r="M28" s="5" t="s">
        <v>62</v>
      </c>
      <c r="N28" s="5" t="s">
        <v>63</v>
      </c>
      <c r="O28" s="5" t="s">
        <v>46</v>
      </c>
      <c r="P28" s="5" t="s">
        <v>67</v>
      </c>
      <c r="Q28" s="5" t="s">
        <v>48</v>
      </c>
    </row>
    <row r="29" ht="34" spans="1:17">
      <c r="A29" t="s">
        <v>37</v>
      </c>
      <c r="B29" t="s">
        <v>38</v>
      </c>
      <c r="C29" t="s">
        <v>60</v>
      </c>
      <c r="D29" t="s">
        <v>61</v>
      </c>
      <c r="E29" t="s">
        <v>51</v>
      </c>
      <c r="F29" s="12">
        <v>2800000000000000</v>
      </c>
      <c r="G29" s="12">
        <v>40000000000000</v>
      </c>
      <c r="H29" s="12">
        <v>2151364520833850</v>
      </c>
      <c r="I29" s="12" t="s">
        <v>42</v>
      </c>
      <c r="J29" s="12" t="s">
        <v>43</v>
      </c>
      <c r="K29" s="12">
        <v>4263944456518340</v>
      </c>
      <c r="L29" s="13">
        <v>1.98197209967266</v>
      </c>
      <c r="M29" s="5" t="s">
        <v>62</v>
      </c>
      <c r="N29" s="5" t="s">
        <v>65</v>
      </c>
      <c r="O29" s="5" t="s">
        <v>46</v>
      </c>
      <c r="P29" s="5" t="s">
        <v>66</v>
      </c>
      <c r="Q29" s="5" t="s">
        <v>48</v>
      </c>
    </row>
    <row r="30" ht="34" spans="1:17">
      <c r="A30" t="s">
        <v>37</v>
      </c>
      <c r="B30" t="s">
        <v>38</v>
      </c>
      <c r="C30" t="s">
        <v>60</v>
      </c>
      <c r="D30" t="s">
        <v>61</v>
      </c>
      <c r="E30" t="s">
        <v>52</v>
      </c>
      <c r="F30" s="12">
        <v>2800000000000000</v>
      </c>
      <c r="G30" s="12">
        <v>40000000000000</v>
      </c>
      <c r="H30" s="12">
        <v>900766217406458</v>
      </c>
      <c r="I30" s="12" t="s">
        <v>42</v>
      </c>
      <c r="J30" s="12" t="s">
        <v>43</v>
      </c>
      <c r="K30" s="12">
        <v>1780232629144470</v>
      </c>
      <c r="L30" s="13">
        <v>1.97635368061452</v>
      </c>
      <c r="M30" s="5" t="s">
        <v>68</v>
      </c>
      <c r="N30" s="5" t="s">
        <v>45</v>
      </c>
      <c r="O30" s="5" t="s">
        <v>46</v>
      </c>
      <c r="P30" s="5" t="s">
        <v>69</v>
      </c>
      <c r="Q30" s="5" t="s">
        <v>48</v>
      </c>
    </row>
    <row r="31" ht="34" spans="1:17">
      <c r="A31" t="s">
        <v>37</v>
      </c>
      <c r="B31" t="s">
        <v>38</v>
      </c>
      <c r="C31" t="s">
        <v>60</v>
      </c>
      <c r="D31" t="s">
        <v>61</v>
      </c>
      <c r="E31" t="s">
        <v>53</v>
      </c>
      <c r="F31" s="12">
        <v>2800000000000000</v>
      </c>
      <c r="G31" s="12">
        <v>40000000000000</v>
      </c>
      <c r="H31" s="12">
        <v>6163457995229330</v>
      </c>
      <c r="I31" s="12" t="s">
        <v>42</v>
      </c>
      <c r="J31" s="12" t="s">
        <v>43</v>
      </c>
      <c r="K31" s="12">
        <v>1.21785188079008e+16</v>
      </c>
      <c r="L31" s="13">
        <v>1.97592306418366</v>
      </c>
      <c r="M31" s="5" t="s">
        <v>68</v>
      </c>
      <c r="N31" s="5" t="s">
        <v>45</v>
      </c>
      <c r="O31" s="5" t="s">
        <v>46</v>
      </c>
      <c r="P31" s="5" t="s">
        <v>69</v>
      </c>
      <c r="Q31" s="5" t="s">
        <v>48</v>
      </c>
    </row>
    <row r="32" ht="34" spans="1:17">
      <c r="A32" t="s">
        <v>37</v>
      </c>
      <c r="B32" t="s">
        <v>38</v>
      </c>
      <c r="C32" t="s">
        <v>60</v>
      </c>
      <c r="D32" t="s">
        <v>61</v>
      </c>
      <c r="E32" t="s">
        <v>54</v>
      </c>
      <c r="F32" s="12">
        <v>2800000000000000</v>
      </c>
      <c r="G32" s="12">
        <v>40000000000000</v>
      </c>
      <c r="H32" s="12">
        <v>7609393746901530</v>
      </c>
      <c r="I32" s="12" t="s">
        <v>42</v>
      </c>
      <c r="J32" s="12" t="s">
        <v>43</v>
      </c>
      <c r="K32" s="12">
        <v>1.50315736091863e+16</v>
      </c>
      <c r="L32" s="13">
        <v>1.9753970039081</v>
      </c>
      <c r="M32" s="5" t="s">
        <v>68</v>
      </c>
      <c r="N32" s="5" t="s">
        <v>45</v>
      </c>
      <c r="O32" s="5" t="s">
        <v>46</v>
      </c>
      <c r="P32" s="5" t="s">
        <v>69</v>
      </c>
      <c r="Q32" s="5" t="s">
        <v>48</v>
      </c>
    </row>
    <row r="33" ht="34" spans="1:17">
      <c r="A33" t="s">
        <v>37</v>
      </c>
      <c r="B33" t="s">
        <v>38</v>
      </c>
      <c r="C33" t="s">
        <v>60</v>
      </c>
      <c r="D33" t="s">
        <v>61</v>
      </c>
      <c r="E33" t="s">
        <v>55</v>
      </c>
      <c r="F33" s="12">
        <v>2800000000000000</v>
      </c>
      <c r="G33" s="12">
        <v>40000000000000</v>
      </c>
      <c r="H33" s="12">
        <v>185819285566102</v>
      </c>
      <c r="I33" s="12" t="s">
        <v>42</v>
      </c>
      <c r="J33" s="12" t="s">
        <v>43</v>
      </c>
      <c r="K33" s="12">
        <v>368026709578865</v>
      </c>
      <c r="L33" s="13">
        <v>1.98056250435828</v>
      </c>
      <c r="M33" s="5" t="s">
        <v>62</v>
      </c>
      <c r="N33" s="5" t="s">
        <v>63</v>
      </c>
      <c r="O33" s="5" t="s">
        <v>46</v>
      </c>
      <c r="P33" s="5" t="s">
        <v>67</v>
      </c>
      <c r="Q33" s="5" t="s">
        <v>48</v>
      </c>
    </row>
    <row r="34" ht="34" spans="1:17">
      <c r="A34" t="s">
        <v>37</v>
      </c>
      <c r="B34" t="s">
        <v>38</v>
      </c>
      <c r="C34" t="s">
        <v>70</v>
      </c>
      <c r="D34" t="s">
        <v>71</v>
      </c>
      <c r="E34" t="s">
        <v>41</v>
      </c>
      <c r="F34" s="12">
        <v>2800000000000000</v>
      </c>
      <c r="G34" s="12">
        <v>40000000000000</v>
      </c>
      <c r="H34" s="12">
        <v>32799229555233.2</v>
      </c>
      <c r="I34" s="12" t="s">
        <v>42</v>
      </c>
      <c r="J34" s="12" t="s">
        <v>43</v>
      </c>
      <c r="K34" s="12">
        <v>43914106553260.9</v>
      </c>
      <c r="L34" s="13">
        <v>1.33887616107904</v>
      </c>
      <c r="M34" s="5" t="s">
        <v>44</v>
      </c>
      <c r="N34" s="5" t="s">
        <v>45</v>
      </c>
      <c r="O34" s="5" t="s">
        <v>46</v>
      </c>
      <c r="P34" s="5" t="s">
        <v>47</v>
      </c>
      <c r="Q34" s="5" t="s">
        <v>48</v>
      </c>
    </row>
    <row r="35" ht="34" spans="1:17">
      <c r="A35" t="s">
        <v>37</v>
      </c>
      <c r="B35" t="s">
        <v>38</v>
      </c>
      <c r="C35" t="s">
        <v>70</v>
      </c>
      <c r="D35" t="s">
        <v>71</v>
      </c>
      <c r="E35" t="s">
        <v>49</v>
      </c>
      <c r="F35" s="12">
        <v>2800000000000000</v>
      </c>
      <c r="G35" s="12">
        <v>40000000000000</v>
      </c>
      <c r="H35" s="12">
        <v>184538425523394</v>
      </c>
      <c r="I35" s="12" t="s">
        <v>42</v>
      </c>
      <c r="J35" s="12" t="s">
        <v>43</v>
      </c>
      <c r="K35" s="12">
        <v>350019743562849</v>
      </c>
      <c r="L35" s="13">
        <v>1.89673095221286</v>
      </c>
      <c r="M35" s="5" t="s">
        <v>44</v>
      </c>
      <c r="N35" s="5" t="s">
        <v>45</v>
      </c>
      <c r="O35" s="5" t="s">
        <v>46</v>
      </c>
      <c r="P35" s="5" t="s">
        <v>47</v>
      </c>
      <c r="Q35" s="5" t="s">
        <v>48</v>
      </c>
    </row>
    <row r="36" ht="34" spans="1:17">
      <c r="A36" t="s">
        <v>37</v>
      </c>
      <c r="B36" t="s">
        <v>38</v>
      </c>
      <c r="C36" t="s">
        <v>70</v>
      </c>
      <c r="D36" t="s">
        <v>71</v>
      </c>
      <c r="E36" t="s">
        <v>50</v>
      </c>
      <c r="F36" s="12">
        <v>2800000000000000</v>
      </c>
      <c r="G36" s="12">
        <v>40000000000000</v>
      </c>
      <c r="H36" s="12">
        <v>244964830542344</v>
      </c>
      <c r="I36" s="12" t="s">
        <v>42</v>
      </c>
      <c r="J36" s="12" t="s">
        <v>43</v>
      </c>
      <c r="K36" s="12">
        <v>591413525762166</v>
      </c>
      <c r="L36" s="13">
        <v>2.41427932512923</v>
      </c>
      <c r="M36" s="5" t="s">
        <v>44</v>
      </c>
      <c r="N36" s="5" t="s">
        <v>45</v>
      </c>
      <c r="O36" s="5" t="s">
        <v>46</v>
      </c>
      <c r="P36" s="5" t="s">
        <v>47</v>
      </c>
      <c r="Q36" s="5" t="s">
        <v>48</v>
      </c>
    </row>
    <row r="37" ht="34" spans="1:17">
      <c r="A37" t="s">
        <v>37</v>
      </c>
      <c r="B37" t="s">
        <v>38</v>
      </c>
      <c r="C37" t="s">
        <v>70</v>
      </c>
      <c r="D37" t="s">
        <v>71</v>
      </c>
      <c r="E37" t="s">
        <v>51</v>
      </c>
      <c r="F37" s="12">
        <v>2800000000000000</v>
      </c>
      <c r="G37" s="12">
        <v>40000000000000</v>
      </c>
      <c r="H37" s="12">
        <v>1874185164792410</v>
      </c>
      <c r="I37" s="12" t="s">
        <v>42</v>
      </c>
      <c r="J37" s="12" t="s">
        <v>43</v>
      </c>
      <c r="K37" s="12">
        <v>4263944456518340</v>
      </c>
      <c r="L37" s="13">
        <v>2.27509241702413</v>
      </c>
      <c r="M37" s="5" t="s">
        <v>44</v>
      </c>
      <c r="N37" s="5" t="s">
        <v>45</v>
      </c>
      <c r="O37" s="5" t="s">
        <v>46</v>
      </c>
      <c r="P37" s="5" t="s">
        <v>47</v>
      </c>
      <c r="Q37" s="5" t="s">
        <v>48</v>
      </c>
    </row>
    <row r="38" ht="34" spans="1:17">
      <c r="A38" t="s">
        <v>37</v>
      </c>
      <c r="B38" t="s">
        <v>38</v>
      </c>
      <c r="C38" t="s">
        <v>70</v>
      </c>
      <c r="D38" t="s">
        <v>71</v>
      </c>
      <c r="E38" t="s">
        <v>52</v>
      </c>
      <c r="F38" s="12">
        <v>2800000000000000</v>
      </c>
      <c r="G38" s="12">
        <v>40000000000000</v>
      </c>
      <c r="H38" s="12">
        <v>843452900376693</v>
      </c>
      <c r="I38" s="12" t="s">
        <v>42</v>
      </c>
      <c r="J38" s="12" t="s">
        <v>43</v>
      </c>
      <c r="K38" s="12">
        <v>1780232629144470</v>
      </c>
      <c r="L38" s="13">
        <v>2.11064853573852</v>
      </c>
      <c r="M38" s="5" t="s">
        <v>44</v>
      </c>
      <c r="N38" s="5" t="s">
        <v>45</v>
      </c>
      <c r="O38" s="5" t="s">
        <v>46</v>
      </c>
      <c r="P38" s="5" t="s">
        <v>47</v>
      </c>
      <c r="Q38" s="5" t="s">
        <v>48</v>
      </c>
    </row>
    <row r="39" ht="34" spans="1:17">
      <c r="A39" t="s">
        <v>37</v>
      </c>
      <c r="B39" t="s">
        <v>38</v>
      </c>
      <c r="C39" t="s">
        <v>70</v>
      </c>
      <c r="D39" t="s">
        <v>71</v>
      </c>
      <c r="E39" t="s">
        <v>53</v>
      </c>
      <c r="F39" s="12">
        <v>2800000000000000</v>
      </c>
      <c r="G39" s="12">
        <v>40000000000000</v>
      </c>
      <c r="H39" s="12">
        <v>5971408207076600</v>
      </c>
      <c r="I39" s="12" t="s">
        <v>42</v>
      </c>
      <c r="J39" s="12" t="s">
        <v>43</v>
      </c>
      <c r="K39" s="12">
        <v>1.21785188079008e+16</v>
      </c>
      <c r="L39" s="13">
        <v>2.03947182734356</v>
      </c>
      <c r="M39" s="5" t="s">
        <v>44</v>
      </c>
      <c r="N39" s="5" t="s">
        <v>45</v>
      </c>
      <c r="O39" s="5" t="s">
        <v>46</v>
      </c>
      <c r="P39" s="5" t="s">
        <v>47</v>
      </c>
      <c r="Q39" s="5" t="s">
        <v>48</v>
      </c>
    </row>
    <row r="40" ht="34" spans="1:17">
      <c r="A40" t="s">
        <v>37</v>
      </c>
      <c r="B40" t="s">
        <v>38</v>
      </c>
      <c r="C40" t="s">
        <v>70</v>
      </c>
      <c r="D40" t="s">
        <v>71</v>
      </c>
      <c r="E40" t="s">
        <v>54</v>
      </c>
      <c r="F40" s="12">
        <v>2800000000000000</v>
      </c>
      <c r="G40" s="12">
        <v>40000000000000</v>
      </c>
      <c r="H40" s="12">
        <v>7372025227778670</v>
      </c>
      <c r="I40" s="12" t="s">
        <v>42</v>
      </c>
      <c r="J40" s="12" t="s">
        <v>43</v>
      </c>
      <c r="K40" s="12">
        <v>1.50315736091863e+16</v>
      </c>
      <c r="L40" s="13">
        <v>2.03900192209673</v>
      </c>
      <c r="M40" s="5" t="s">
        <v>44</v>
      </c>
      <c r="N40" s="5" t="s">
        <v>45</v>
      </c>
      <c r="O40" s="5" t="s">
        <v>46</v>
      </c>
      <c r="P40" s="5" t="s">
        <v>47</v>
      </c>
      <c r="Q40" s="5" t="s">
        <v>48</v>
      </c>
    </row>
    <row r="41" ht="34" spans="1:17">
      <c r="A41" t="s">
        <v>37</v>
      </c>
      <c r="B41" t="s">
        <v>38</v>
      </c>
      <c r="C41" t="s">
        <v>70</v>
      </c>
      <c r="D41" t="s">
        <v>71</v>
      </c>
      <c r="E41" t="s">
        <v>55</v>
      </c>
      <c r="F41" s="12">
        <v>2800000000000000</v>
      </c>
      <c r="G41" s="12">
        <v>40000000000000</v>
      </c>
      <c r="H41" s="12">
        <v>156143316300698</v>
      </c>
      <c r="I41" s="12" t="s">
        <v>42</v>
      </c>
      <c r="J41" s="12" t="s">
        <v>43</v>
      </c>
      <c r="K41" s="12">
        <v>368026709578865</v>
      </c>
      <c r="L41" s="13">
        <v>2.35698023007354</v>
      </c>
      <c r="M41" s="5" t="s">
        <v>44</v>
      </c>
      <c r="N41" s="5" t="s">
        <v>45</v>
      </c>
      <c r="O41" s="5" t="s">
        <v>46</v>
      </c>
      <c r="P41" s="5" t="s">
        <v>47</v>
      </c>
      <c r="Q41" s="5" t="s">
        <v>48</v>
      </c>
    </row>
    <row r="42" ht="34" spans="1:17">
      <c r="A42" t="s">
        <v>37</v>
      </c>
      <c r="B42" t="s">
        <v>38</v>
      </c>
      <c r="C42" t="s">
        <v>72</v>
      </c>
      <c r="D42" t="s">
        <v>73</v>
      </c>
      <c r="E42" t="s">
        <v>41</v>
      </c>
      <c r="F42" s="12">
        <v>2800000000000000</v>
      </c>
      <c r="G42" s="12">
        <v>40000000000000</v>
      </c>
      <c r="H42" s="12">
        <v>22509924773338.6</v>
      </c>
      <c r="I42" s="12" t="s">
        <v>42</v>
      </c>
      <c r="J42" s="12" t="s">
        <v>43</v>
      </c>
      <c r="K42" s="12">
        <v>43914106553260.9</v>
      </c>
      <c r="L42" s="13">
        <v>1.95087753492957</v>
      </c>
      <c r="M42" s="5" t="s">
        <v>44</v>
      </c>
      <c r="N42" s="5" t="s">
        <v>45</v>
      </c>
      <c r="O42" s="5" t="s">
        <v>46</v>
      </c>
      <c r="P42" s="5" t="s">
        <v>47</v>
      </c>
      <c r="Q42" s="5" t="s">
        <v>48</v>
      </c>
    </row>
    <row r="43" ht="34" spans="1:17">
      <c r="A43" t="s">
        <v>37</v>
      </c>
      <c r="B43" t="s">
        <v>38</v>
      </c>
      <c r="C43" t="s">
        <v>72</v>
      </c>
      <c r="D43" t="s">
        <v>73</v>
      </c>
      <c r="E43" t="s">
        <v>49</v>
      </c>
      <c r="F43" s="12">
        <v>2800000000000000</v>
      </c>
      <c r="G43" s="12">
        <v>40000000000000</v>
      </c>
      <c r="H43" s="12">
        <v>139698361857872</v>
      </c>
      <c r="I43" s="12" t="s">
        <v>42</v>
      </c>
      <c r="J43" s="12" t="s">
        <v>43</v>
      </c>
      <c r="K43" s="12">
        <v>350019743562849</v>
      </c>
      <c r="L43" s="13">
        <v>2.50553935570809</v>
      </c>
      <c r="M43" s="5" t="s">
        <v>44</v>
      </c>
      <c r="N43" s="5" t="s">
        <v>45</v>
      </c>
      <c r="O43" s="5" t="s">
        <v>46</v>
      </c>
      <c r="P43" s="5" t="s">
        <v>47</v>
      </c>
      <c r="Q43" s="5" t="s">
        <v>48</v>
      </c>
    </row>
    <row r="44" ht="34" spans="1:17">
      <c r="A44" t="s">
        <v>37</v>
      </c>
      <c r="B44" t="s">
        <v>38</v>
      </c>
      <c r="C44" t="s">
        <v>72</v>
      </c>
      <c r="D44" t="s">
        <v>73</v>
      </c>
      <c r="E44" t="s">
        <v>50</v>
      </c>
      <c r="F44" s="12">
        <v>2800000000000000</v>
      </c>
      <c r="G44" s="12">
        <v>40000000000000</v>
      </c>
      <c r="H44" s="12">
        <v>222619560951119</v>
      </c>
      <c r="I44" s="12" t="s">
        <v>42</v>
      </c>
      <c r="J44" s="12" t="s">
        <v>43</v>
      </c>
      <c r="K44" s="12">
        <v>591413525762166</v>
      </c>
      <c r="L44" s="13">
        <v>2.65661078135009</v>
      </c>
      <c r="M44" s="5" t="s">
        <v>44</v>
      </c>
      <c r="N44" s="5" t="s">
        <v>45</v>
      </c>
      <c r="O44" s="5" t="s">
        <v>46</v>
      </c>
      <c r="P44" s="5" t="s">
        <v>47</v>
      </c>
      <c r="Q44" s="5" t="s">
        <v>48</v>
      </c>
    </row>
    <row r="45" ht="34" spans="1:17">
      <c r="A45" t="s">
        <v>37</v>
      </c>
      <c r="B45" t="s">
        <v>38</v>
      </c>
      <c r="C45" t="s">
        <v>72</v>
      </c>
      <c r="D45" t="s">
        <v>73</v>
      </c>
      <c r="E45" t="s">
        <v>51</v>
      </c>
      <c r="F45" s="12">
        <v>2800000000000000</v>
      </c>
      <c r="G45" s="12">
        <v>40000000000000</v>
      </c>
      <c r="H45" s="12">
        <v>1406401055386390</v>
      </c>
      <c r="I45" s="12" t="s">
        <v>42</v>
      </c>
      <c r="J45" s="12" t="s">
        <v>43</v>
      </c>
      <c r="K45" s="12">
        <v>4263944456518340</v>
      </c>
      <c r="L45" s="13">
        <v>3.03181261147937</v>
      </c>
      <c r="M45" s="5" t="s">
        <v>44</v>
      </c>
      <c r="N45" s="5" t="s">
        <v>45</v>
      </c>
      <c r="O45" s="5" t="s">
        <v>46</v>
      </c>
      <c r="P45" s="5" t="s">
        <v>47</v>
      </c>
      <c r="Q45" s="5" t="s">
        <v>48</v>
      </c>
    </row>
    <row r="46" ht="34" spans="1:17">
      <c r="A46" t="s">
        <v>37</v>
      </c>
      <c r="B46" t="s">
        <v>38</v>
      </c>
      <c r="C46" t="s">
        <v>72</v>
      </c>
      <c r="D46" t="s">
        <v>73</v>
      </c>
      <c r="E46" t="s">
        <v>52</v>
      </c>
      <c r="F46" s="12">
        <v>2800000000000000</v>
      </c>
      <c r="G46" s="12">
        <v>40000000000000</v>
      </c>
      <c r="H46" s="12">
        <v>717158962470585</v>
      </c>
      <c r="I46" s="12" t="s">
        <v>42</v>
      </c>
      <c r="J46" s="12" t="s">
        <v>43</v>
      </c>
      <c r="K46" s="12">
        <v>1780232629144470</v>
      </c>
      <c r="L46" s="13">
        <v>2.48234034893971</v>
      </c>
      <c r="M46" s="5" t="s">
        <v>44</v>
      </c>
      <c r="N46" s="5" t="s">
        <v>45</v>
      </c>
      <c r="O46" s="5" t="s">
        <v>46</v>
      </c>
      <c r="P46" s="5" t="s">
        <v>47</v>
      </c>
      <c r="Q46" s="5" t="s">
        <v>48</v>
      </c>
    </row>
    <row r="47" ht="34" spans="1:17">
      <c r="A47" t="s">
        <v>37</v>
      </c>
      <c r="B47" t="s">
        <v>38</v>
      </c>
      <c r="C47" t="s">
        <v>72</v>
      </c>
      <c r="D47" t="s">
        <v>73</v>
      </c>
      <c r="E47" t="s">
        <v>53</v>
      </c>
      <c r="F47" s="12">
        <v>2800000000000000</v>
      </c>
      <c r="G47" s="12">
        <v>40000000000000</v>
      </c>
      <c r="H47" s="12">
        <v>5420606234253410</v>
      </c>
      <c r="I47" s="12" t="s">
        <v>42</v>
      </c>
      <c r="J47" s="12" t="s">
        <v>43</v>
      </c>
      <c r="K47" s="12">
        <v>1.21785188079008e+16</v>
      </c>
      <c r="L47" s="13">
        <v>2.24670789236514</v>
      </c>
      <c r="M47" s="5" t="s">
        <v>44</v>
      </c>
      <c r="N47" s="5" t="s">
        <v>45</v>
      </c>
      <c r="O47" s="5" t="s">
        <v>46</v>
      </c>
      <c r="P47" s="5" t="s">
        <v>47</v>
      </c>
      <c r="Q47" s="5" t="s">
        <v>48</v>
      </c>
    </row>
    <row r="48" ht="34" spans="1:17">
      <c r="A48" t="s">
        <v>37</v>
      </c>
      <c r="B48" t="s">
        <v>38</v>
      </c>
      <c r="C48" t="s">
        <v>72</v>
      </c>
      <c r="D48" t="s">
        <v>73</v>
      </c>
      <c r="E48" t="s">
        <v>54</v>
      </c>
      <c r="F48" s="12">
        <v>2800000000000000</v>
      </c>
      <c r="G48" s="12">
        <v>40000000000000</v>
      </c>
      <c r="H48" s="12">
        <v>7151142787596070</v>
      </c>
      <c r="I48" s="12" t="s">
        <v>42</v>
      </c>
      <c r="J48" s="12" t="s">
        <v>43</v>
      </c>
      <c r="K48" s="12">
        <v>1.50315736091863e+16</v>
      </c>
      <c r="L48" s="13">
        <v>2.10198202660128</v>
      </c>
      <c r="M48" s="5" t="s">
        <v>44</v>
      </c>
      <c r="N48" s="5" t="s">
        <v>45</v>
      </c>
      <c r="O48" s="5" t="s">
        <v>46</v>
      </c>
      <c r="P48" s="5" t="s">
        <v>47</v>
      </c>
      <c r="Q48" s="5" t="s">
        <v>48</v>
      </c>
    </row>
    <row r="49" ht="34" spans="1:17">
      <c r="A49" t="s">
        <v>37</v>
      </c>
      <c r="B49" t="s">
        <v>38</v>
      </c>
      <c r="C49" t="s">
        <v>72</v>
      </c>
      <c r="D49" t="s">
        <v>73</v>
      </c>
      <c r="E49" t="s">
        <v>55</v>
      </c>
      <c r="F49" s="12">
        <v>2800000000000000</v>
      </c>
      <c r="G49" s="12">
        <v>40000000000000</v>
      </c>
      <c r="H49" s="12">
        <v>148469886710219</v>
      </c>
      <c r="I49" s="12" t="s">
        <v>42</v>
      </c>
      <c r="J49" s="12" t="s">
        <v>43</v>
      </c>
      <c r="K49" s="12">
        <v>368026709578865</v>
      </c>
      <c r="L49" s="13">
        <v>2.47879699872859</v>
      </c>
      <c r="M49" s="5" t="s">
        <v>44</v>
      </c>
      <c r="N49" s="5" t="s">
        <v>45</v>
      </c>
      <c r="O49" s="5" t="s">
        <v>46</v>
      </c>
      <c r="P49" s="5" t="s">
        <v>47</v>
      </c>
      <c r="Q49" s="5" t="s">
        <v>48</v>
      </c>
    </row>
    <row r="50" ht="34" spans="1:17">
      <c r="A50" t="s">
        <v>37</v>
      </c>
      <c r="B50" t="s">
        <v>38</v>
      </c>
      <c r="C50" t="s">
        <v>74</v>
      </c>
      <c r="D50" t="s">
        <v>75</v>
      </c>
      <c r="E50" t="s">
        <v>41</v>
      </c>
      <c r="F50" s="12">
        <v>2800000000000000</v>
      </c>
      <c r="G50" s="12">
        <v>40000000000000</v>
      </c>
      <c r="H50" s="12">
        <v>32430288644932.4</v>
      </c>
      <c r="I50" s="12" t="s">
        <v>42</v>
      </c>
      <c r="J50" s="12" t="s">
        <v>43</v>
      </c>
      <c r="K50" s="12">
        <v>43914106553260.9</v>
      </c>
      <c r="L50" s="13">
        <v>1.35410779207242</v>
      </c>
      <c r="M50" s="5" t="s">
        <v>44</v>
      </c>
      <c r="N50" s="5" t="s">
        <v>45</v>
      </c>
      <c r="O50" s="5" t="s">
        <v>46</v>
      </c>
      <c r="P50" s="5" t="s">
        <v>47</v>
      </c>
      <c r="Q50" s="5" t="s">
        <v>48</v>
      </c>
    </row>
    <row r="51" ht="34" spans="1:17">
      <c r="A51" t="s">
        <v>37</v>
      </c>
      <c r="B51" t="s">
        <v>38</v>
      </c>
      <c r="C51" t="s">
        <v>74</v>
      </c>
      <c r="D51" t="s">
        <v>75</v>
      </c>
      <c r="E51" t="s">
        <v>49</v>
      </c>
      <c r="F51" s="12">
        <v>2800000000000000</v>
      </c>
      <c r="G51" s="12">
        <v>40000000000000</v>
      </c>
      <c r="H51" s="12">
        <v>119172597829805</v>
      </c>
      <c r="I51" s="12" t="s">
        <v>42</v>
      </c>
      <c r="J51" s="12" t="s">
        <v>43</v>
      </c>
      <c r="K51" s="12">
        <v>350019743562849</v>
      </c>
      <c r="L51" s="13">
        <v>2.93708243284859</v>
      </c>
      <c r="M51" s="5" t="s">
        <v>44</v>
      </c>
      <c r="N51" s="5" t="s">
        <v>45</v>
      </c>
      <c r="O51" s="5" t="s">
        <v>46</v>
      </c>
      <c r="P51" s="5" t="s">
        <v>47</v>
      </c>
      <c r="Q51" s="5" t="s">
        <v>48</v>
      </c>
    </row>
    <row r="52" ht="34" spans="1:17">
      <c r="A52" t="s">
        <v>37</v>
      </c>
      <c r="B52" t="s">
        <v>38</v>
      </c>
      <c r="C52" t="s">
        <v>74</v>
      </c>
      <c r="D52" t="s">
        <v>75</v>
      </c>
      <c r="E52" t="s">
        <v>50</v>
      </c>
      <c r="F52" s="12">
        <v>2800000000000000</v>
      </c>
      <c r="G52" s="12">
        <v>40000000000000</v>
      </c>
      <c r="H52" s="12">
        <v>179657207327486</v>
      </c>
      <c r="I52" s="12" t="s">
        <v>42</v>
      </c>
      <c r="J52" s="12" t="s">
        <v>43</v>
      </c>
      <c r="K52" s="12">
        <v>591413525762166</v>
      </c>
      <c r="L52" s="13">
        <v>3.29189980496643</v>
      </c>
      <c r="M52" s="5" t="s">
        <v>44</v>
      </c>
      <c r="N52" s="5" t="s">
        <v>45</v>
      </c>
      <c r="O52" s="5" t="s">
        <v>46</v>
      </c>
      <c r="P52" s="5" t="s">
        <v>47</v>
      </c>
      <c r="Q52" s="5" t="s">
        <v>48</v>
      </c>
    </row>
    <row r="53" ht="34" spans="1:17">
      <c r="A53" t="s">
        <v>37</v>
      </c>
      <c r="B53" t="s">
        <v>38</v>
      </c>
      <c r="C53" t="s">
        <v>74</v>
      </c>
      <c r="D53" t="s">
        <v>75</v>
      </c>
      <c r="E53" t="s">
        <v>51</v>
      </c>
      <c r="F53" s="12">
        <v>2800000000000000</v>
      </c>
      <c r="G53" s="12">
        <v>40000000000000</v>
      </c>
      <c r="H53" s="12">
        <v>640228309356924</v>
      </c>
      <c r="I53" s="12" t="s">
        <v>42</v>
      </c>
      <c r="J53" s="12" t="s">
        <v>43</v>
      </c>
      <c r="K53" s="12">
        <v>4263944456518340</v>
      </c>
      <c r="L53" s="13">
        <v>6.66003735573837</v>
      </c>
      <c r="M53" s="5" t="s">
        <v>44</v>
      </c>
      <c r="N53" s="5" t="s">
        <v>45</v>
      </c>
      <c r="O53" s="5" t="s">
        <v>46</v>
      </c>
      <c r="P53" s="5" t="s">
        <v>47</v>
      </c>
      <c r="Q53" s="5" t="s">
        <v>48</v>
      </c>
    </row>
    <row r="54" ht="34" spans="1:17">
      <c r="A54" t="s">
        <v>37</v>
      </c>
      <c r="B54" t="s">
        <v>38</v>
      </c>
      <c r="C54" t="s">
        <v>74</v>
      </c>
      <c r="D54" t="s">
        <v>75</v>
      </c>
      <c r="E54" t="s">
        <v>52</v>
      </c>
      <c r="F54" s="12">
        <v>2800000000000000</v>
      </c>
      <c r="G54" s="12">
        <v>40000000000000</v>
      </c>
      <c r="H54" s="12">
        <v>635769084540833</v>
      </c>
      <c r="I54" s="12" t="s">
        <v>42</v>
      </c>
      <c r="J54" s="12" t="s">
        <v>43</v>
      </c>
      <c r="K54" s="12">
        <v>1780232629144470</v>
      </c>
      <c r="L54" s="13">
        <v>2.80012456162476</v>
      </c>
      <c r="M54" s="5" t="s">
        <v>44</v>
      </c>
      <c r="N54" s="5" t="s">
        <v>45</v>
      </c>
      <c r="O54" s="5" t="s">
        <v>46</v>
      </c>
      <c r="P54" s="5" t="s">
        <v>47</v>
      </c>
      <c r="Q54" s="5" t="s">
        <v>48</v>
      </c>
    </row>
    <row r="55" ht="34" spans="1:17">
      <c r="A55" t="s">
        <v>37</v>
      </c>
      <c r="B55" t="s">
        <v>38</v>
      </c>
      <c r="C55" t="s">
        <v>74</v>
      </c>
      <c r="D55" t="s">
        <v>75</v>
      </c>
      <c r="E55" t="s">
        <v>53</v>
      </c>
      <c r="F55" s="12">
        <v>2800000000000000</v>
      </c>
      <c r="G55" s="12">
        <v>40000000000000</v>
      </c>
      <c r="H55" s="12">
        <v>4981644024688490</v>
      </c>
      <c r="I55" s="12" t="s">
        <v>42</v>
      </c>
      <c r="J55" s="12" t="s">
        <v>43</v>
      </c>
      <c r="K55" s="12">
        <v>1.21785188079008e+16</v>
      </c>
      <c r="L55" s="13">
        <v>2.44467865378285</v>
      </c>
      <c r="M55" s="5" t="s">
        <v>44</v>
      </c>
      <c r="N55" s="5" t="s">
        <v>45</v>
      </c>
      <c r="O55" s="5" t="s">
        <v>46</v>
      </c>
      <c r="P55" s="5" t="s">
        <v>47</v>
      </c>
      <c r="Q55" s="5" t="s">
        <v>48</v>
      </c>
    </row>
    <row r="56" ht="34" spans="1:17">
      <c r="A56" t="s">
        <v>37</v>
      </c>
      <c r="B56" t="s">
        <v>38</v>
      </c>
      <c r="C56" t="s">
        <v>74</v>
      </c>
      <c r="D56" t="s">
        <v>75</v>
      </c>
      <c r="E56" t="s">
        <v>54</v>
      </c>
      <c r="F56" s="12">
        <v>2800000000000000</v>
      </c>
      <c r="G56" s="12">
        <v>40000000000000</v>
      </c>
      <c r="H56" s="12">
        <v>6929608468093230</v>
      </c>
      <c r="I56" s="12" t="s">
        <v>42</v>
      </c>
      <c r="J56" s="12" t="s">
        <v>43</v>
      </c>
      <c r="K56" s="12">
        <v>1.50315736091863e+16</v>
      </c>
      <c r="L56" s="13">
        <v>2.16918079548041</v>
      </c>
      <c r="M56" s="5" t="s">
        <v>44</v>
      </c>
      <c r="N56" s="5" t="s">
        <v>45</v>
      </c>
      <c r="O56" s="5" t="s">
        <v>46</v>
      </c>
      <c r="P56" s="5" t="s">
        <v>47</v>
      </c>
      <c r="Q56" s="5" t="s">
        <v>48</v>
      </c>
    </row>
    <row r="57" ht="34" spans="1:17">
      <c r="A57" t="s">
        <v>37</v>
      </c>
      <c r="B57" t="s">
        <v>38</v>
      </c>
      <c r="C57" t="s">
        <v>74</v>
      </c>
      <c r="D57" t="s">
        <v>75</v>
      </c>
      <c r="E57" t="s">
        <v>55</v>
      </c>
      <c r="F57" s="12">
        <v>2800000000000000</v>
      </c>
      <c r="G57" s="12">
        <v>40000000000000</v>
      </c>
      <c r="H57" s="12">
        <v>122746871080723</v>
      </c>
      <c r="I57" s="12" t="s">
        <v>42</v>
      </c>
      <c r="J57" s="12" t="s">
        <v>43</v>
      </c>
      <c r="K57" s="12">
        <v>368026709578865</v>
      </c>
      <c r="L57" s="13">
        <v>2.99825735954472</v>
      </c>
      <c r="M57" s="5" t="s">
        <v>44</v>
      </c>
      <c r="N57" s="5" t="s">
        <v>45</v>
      </c>
      <c r="O57" s="5" t="s">
        <v>46</v>
      </c>
      <c r="P57" s="5" t="s">
        <v>47</v>
      </c>
      <c r="Q57" s="5" t="s">
        <v>48</v>
      </c>
    </row>
    <row r="58" ht="34" spans="1:17">
      <c r="A58" t="s">
        <v>37</v>
      </c>
      <c r="B58" t="s">
        <v>38</v>
      </c>
      <c r="C58" t="s">
        <v>76</v>
      </c>
      <c r="D58" t="s">
        <v>77</v>
      </c>
      <c r="E58" t="s">
        <v>41</v>
      </c>
      <c r="F58" s="12">
        <v>2800000000000000</v>
      </c>
      <c r="G58" s="12">
        <v>40000000000000</v>
      </c>
      <c r="H58" s="12">
        <v>2653055807645.49</v>
      </c>
      <c r="I58" s="12" t="s">
        <v>42</v>
      </c>
      <c r="J58" s="12" t="s">
        <v>43</v>
      </c>
      <c r="K58" s="12">
        <v>43914106553260.9</v>
      </c>
      <c r="L58" s="13">
        <v>16.5522739577172</v>
      </c>
      <c r="M58" s="5" t="s">
        <v>44</v>
      </c>
      <c r="N58" s="5" t="s">
        <v>45</v>
      </c>
      <c r="O58" s="5" t="s">
        <v>46</v>
      </c>
      <c r="P58" s="5" t="s">
        <v>47</v>
      </c>
      <c r="Q58" s="5" t="s">
        <v>48</v>
      </c>
    </row>
    <row r="59" ht="34" spans="1:17">
      <c r="A59" t="s">
        <v>37</v>
      </c>
      <c r="B59" t="s">
        <v>38</v>
      </c>
      <c r="C59" t="s">
        <v>76</v>
      </c>
      <c r="D59" t="s">
        <v>77</v>
      </c>
      <c r="E59" t="s">
        <v>49</v>
      </c>
      <c r="F59" s="12">
        <v>2800000000000000</v>
      </c>
      <c r="G59" s="12">
        <v>40000000000000</v>
      </c>
      <c r="H59" s="12">
        <v>83892248629254.2</v>
      </c>
      <c r="I59" s="12" t="s">
        <v>42</v>
      </c>
      <c r="J59" s="12" t="s">
        <v>43</v>
      </c>
      <c r="K59" s="12">
        <v>350019743562849</v>
      </c>
      <c r="L59" s="13">
        <v>4.17225368591197</v>
      </c>
      <c r="M59" s="5" t="s">
        <v>44</v>
      </c>
      <c r="N59" s="5" t="s">
        <v>45</v>
      </c>
      <c r="O59" s="5" t="s">
        <v>46</v>
      </c>
      <c r="P59" s="5" t="s">
        <v>47</v>
      </c>
      <c r="Q59" s="5" t="s">
        <v>48</v>
      </c>
    </row>
    <row r="60" ht="34" spans="1:17">
      <c r="A60" t="s">
        <v>37</v>
      </c>
      <c r="B60" t="s">
        <v>38</v>
      </c>
      <c r="C60" t="s">
        <v>76</v>
      </c>
      <c r="D60" t="s">
        <v>77</v>
      </c>
      <c r="E60" t="s">
        <v>50</v>
      </c>
      <c r="F60" s="12">
        <v>2800000000000000</v>
      </c>
      <c r="G60" s="12">
        <v>40000000000000</v>
      </c>
      <c r="H60" s="12">
        <v>196061792143021</v>
      </c>
      <c r="I60" s="12" t="s">
        <v>42</v>
      </c>
      <c r="J60" s="12" t="s">
        <v>43</v>
      </c>
      <c r="K60" s="12">
        <v>591413525762166</v>
      </c>
      <c r="L60" s="13">
        <v>3.0164649588164</v>
      </c>
      <c r="M60" s="5" t="s">
        <v>44</v>
      </c>
      <c r="N60" s="5" t="s">
        <v>45</v>
      </c>
      <c r="O60" s="5" t="s">
        <v>46</v>
      </c>
      <c r="P60" s="5" t="s">
        <v>47</v>
      </c>
      <c r="Q60" s="5" t="s">
        <v>48</v>
      </c>
    </row>
    <row r="61" ht="34" spans="1:17">
      <c r="A61" t="s">
        <v>37</v>
      </c>
      <c r="B61" t="s">
        <v>38</v>
      </c>
      <c r="C61" t="s">
        <v>76</v>
      </c>
      <c r="D61" t="s">
        <v>77</v>
      </c>
      <c r="E61" t="s">
        <v>51</v>
      </c>
      <c r="F61" s="12">
        <v>2800000000000000</v>
      </c>
      <c r="G61" s="12">
        <v>40000000000000</v>
      </c>
      <c r="H61" s="12">
        <v>4361765500541090</v>
      </c>
      <c r="I61" s="12" t="s">
        <v>42</v>
      </c>
      <c r="J61" s="12" t="s">
        <v>43</v>
      </c>
      <c r="K61" s="12">
        <v>4263944456518340</v>
      </c>
      <c r="L61" s="13">
        <v>0.977573062098222</v>
      </c>
      <c r="M61" s="5" t="s">
        <v>44</v>
      </c>
      <c r="N61" s="5" t="s">
        <v>45</v>
      </c>
      <c r="O61" s="5" t="s">
        <v>46</v>
      </c>
      <c r="P61" s="5" t="s">
        <v>47</v>
      </c>
      <c r="Q61" s="5" t="s">
        <v>48</v>
      </c>
    </row>
    <row r="62" ht="34" spans="1:17">
      <c r="A62" t="s">
        <v>37</v>
      </c>
      <c r="B62" t="s">
        <v>38</v>
      </c>
      <c r="C62" t="s">
        <v>76</v>
      </c>
      <c r="D62" t="s">
        <v>77</v>
      </c>
      <c r="E62" t="s">
        <v>52</v>
      </c>
      <c r="F62" s="12">
        <v>2800000000000000</v>
      </c>
      <c r="G62" s="12">
        <v>40000000000000</v>
      </c>
      <c r="H62" s="12">
        <v>549152204556592</v>
      </c>
      <c r="I62" s="12" t="s">
        <v>42</v>
      </c>
      <c r="J62" s="12" t="s">
        <v>43</v>
      </c>
      <c r="K62" s="12">
        <v>1780232629144470</v>
      </c>
      <c r="L62" s="13">
        <v>3.24178363370481</v>
      </c>
      <c r="M62" s="5" t="s">
        <v>44</v>
      </c>
      <c r="N62" s="5" t="s">
        <v>45</v>
      </c>
      <c r="O62" s="5" t="s">
        <v>46</v>
      </c>
      <c r="P62" s="5" t="s">
        <v>47</v>
      </c>
      <c r="Q62" s="5" t="s">
        <v>48</v>
      </c>
    </row>
    <row r="63" ht="34" spans="1:17">
      <c r="A63" t="s">
        <v>37</v>
      </c>
      <c r="B63" t="s">
        <v>38</v>
      </c>
      <c r="C63" t="s">
        <v>76</v>
      </c>
      <c r="D63" t="s">
        <v>77</v>
      </c>
      <c r="E63" t="s">
        <v>53</v>
      </c>
      <c r="F63" s="12">
        <v>2800000000000000</v>
      </c>
      <c r="G63" s="12">
        <v>40000000000000</v>
      </c>
      <c r="H63" s="12">
        <v>3293381528145630</v>
      </c>
      <c r="I63" s="12" t="s">
        <v>42</v>
      </c>
      <c r="J63" s="12" t="s">
        <v>43</v>
      </c>
      <c r="K63" s="12">
        <v>1.21785188079008e+16</v>
      </c>
      <c r="L63" s="13">
        <v>3.69787669719459</v>
      </c>
      <c r="M63" s="5" t="s">
        <v>44</v>
      </c>
      <c r="N63" s="5" t="s">
        <v>45</v>
      </c>
      <c r="O63" s="5" t="s">
        <v>46</v>
      </c>
      <c r="P63" s="5" t="s">
        <v>47</v>
      </c>
      <c r="Q63" s="5" t="s">
        <v>48</v>
      </c>
    </row>
    <row r="64" ht="34" spans="1:17">
      <c r="A64" t="s">
        <v>37</v>
      </c>
      <c r="B64" t="s">
        <v>38</v>
      </c>
      <c r="C64" t="s">
        <v>76</v>
      </c>
      <c r="D64" t="s">
        <v>77</v>
      </c>
      <c r="E64" t="s">
        <v>54</v>
      </c>
      <c r="F64" s="12">
        <v>2800000000000000</v>
      </c>
      <c r="G64" s="12">
        <v>40000000000000</v>
      </c>
      <c r="H64" s="12">
        <v>4979893970337690</v>
      </c>
      <c r="I64" s="12" t="s">
        <v>42</v>
      </c>
      <c r="J64" s="12" t="s">
        <v>43</v>
      </c>
      <c r="K64" s="12">
        <v>1.50315736091863e+16</v>
      </c>
      <c r="L64" s="13">
        <v>3.0184525411024</v>
      </c>
      <c r="M64" s="5" t="s">
        <v>44</v>
      </c>
      <c r="N64" s="5" t="s">
        <v>45</v>
      </c>
      <c r="O64" s="5" t="s">
        <v>46</v>
      </c>
      <c r="P64" s="5" t="s">
        <v>47</v>
      </c>
      <c r="Q64" s="5" t="s">
        <v>48</v>
      </c>
    </row>
    <row r="65" ht="34" spans="1:17">
      <c r="A65" t="s">
        <v>37</v>
      </c>
      <c r="B65" t="s">
        <v>38</v>
      </c>
      <c r="C65" t="s">
        <v>76</v>
      </c>
      <c r="D65" t="s">
        <v>77</v>
      </c>
      <c r="E65" t="s">
        <v>55</v>
      </c>
      <c r="F65" s="12">
        <v>2800000000000000</v>
      </c>
      <c r="G65" s="12">
        <v>40000000000000</v>
      </c>
      <c r="H65" s="12">
        <v>109240856903746</v>
      </c>
      <c r="I65" s="12" t="s">
        <v>42</v>
      </c>
      <c r="J65" s="12" t="s">
        <v>43</v>
      </c>
      <c r="K65" s="12">
        <v>368026709578865</v>
      </c>
      <c r="L65" s="13">
        <v>3.36894747999954</v>
      </c>
      <c r="M65" s="5" t="s">
        <v>44</v>
      </c>
      <c r="N65" s="5" t="s">
        <v>45</v>
      </c>
      <c r="O65" s="5" t="s">
        <v>46</v>
      </c>
      <c r="P65" s="5" t="s">
        <v>47</v>
      </c>
      <c r="Q65" s="5" t="s">
        <v>48</v>
      </c>
    </row>
    <row r="66" ht="17" spans="1:17">
      <c r="A66" t="s">
        <v>78</v>
      </c>
      <c r="B66" t="s">
        <v>79</v>
      </c>
      <c r="C66" t="s">
        <v>39</v>
      </c>
      <c r="D66" t="s">
        <v>40</v>
      </c>
      <c r="E66" t="s">
        <v>41</v>
      </c>
      <c r="F66" s="12">
        <v>2800000000000000</v>
      </c>
      <c r="G66" s="12">
        <v>40000000000000</v>
      </c>
      <c r="H66" s="12">
        <v>7216890090813930</v>
      </c>
      <c r="I66" s="12" t="s">
        <v>80</v>
      </c>
      <c r="J66" s="12" t="s">
        <v>81</v>
      </c>
      <c r="K66" s="12">
        <v>272131222529826</v>
      </c>
      <c r="L66" s="13">
        <v>0.0377075470327877</v>
      </c>
      <c r="M66" s="5" t="s">
        <v>44</v>
      </c>
      <c r="N66" s="5" t="s">
        <v>45</v>
      </c>
      <c r="O66" s="5" t="s">
        <v>82</v>
      </c>
      <c r="P66" s="5" t="s">
        <v>47</v>
      </c>
      <c r="Q66" s="5" t="s">
        <v>83</v>
      </c>
    </row>
    <row r="67" ht="17" spans="1:17">
      <c r="A67" t="s">
        <v>78</v>
      </c>
      <c r="B67" t="s">
        <v>79</v>
      </c>
      <c r="C67" t="s">
        <v>39</v>
      </c>
      <c r="D67" t="s">
        <v>40</v>
      </c>
      <c r="E67" t="s">
        <v>49</v>
      </c>
      <c r="F67" s="12">
        <v>2800000000000000</v>
      </c>
      <c r="G67" s="12">
        <v>40000000000000</v>
      </c>
      <c r="H67" s="12">
        <v>62076774287360.7</v>
      </c>
      <c r="I67" s="12" t="s">
        <v>80</v>
      </c>
      <c r="J67" s="12" t="s">
        <v>81</v>
      </c>
      <c r="K67" s="12">
        <v>7019368164803.17</v>
      </c>
      <c r="L67" s="13">
        <v>0.113075594622712</v>
      </c>
      <c r="M67" s="5" t="s">
        <v>44</v>
      </c>
      <c r="N67" s="5" t="s">
        <v>45</v>
      </c>
      <c r="O67" s="5" t="s">
        <v>82</v>
      </c>
      <c r="P67" s="5" t="s">
        <v>47</v>
      </c>
      <c r="Q67" s="5" t="s">
        <v>83</v>
      </c>
    </row>
    <row r="68" ht="17" spans="1:17">
      <c r="A68" t="s">
        <v>78</v>
      </c>
      <c r="B68" t="s">
        <v>79</v>
      </c>
      <c r="C68" t="s">
        <v>39</v>
      </c>
      <c r="D68" t="s">
        <v>40</v>
      </c>
      <c r="E68" t="s">
        <v>50</v>
      </c>
      <c r="F68" s="12">
        <v>2800000000000000</v>
      </c>
      <c r="G68" s="12">
        <v>40000000000000</v>
      </c>
      <c r="H68" s="12">
        <v>160420856212048</v>
      </c>
      <c r="I68" s="12" t="s">
        <v>80</v>
      </c>
      <c r="J68" s="12" t="s">
        <v>81</v>
      </c>
      <c r="K68" s="12">
        <v>11834755119680.5</v>
      </c>
      <c r="L68" s="13">
        <v>0.073773170142148</v>
      </c>
      <c r="M68" s="5" t="s">
        <v>44</v>
      </c>
      <c r="N68" s="5" t="s">
        <v>45</v>
      </c>
      <c r="O68" s="5" t="s">
        <v>82</v>
      </c>
      <c r="P68" s="5" t="s">
        <v>47</v>
      </c>
      <c r="Q68" s="5" t="s">
        <v>83</v>
      </c>
    </row>
    <row r="69" ht="17" spans="1:17">
      <c r="A69" t="s">
        <v>78</v>
      </c>
      <c r="B69" t="s">
        <v>79</v>
      </c>
      <c r="C69" t="s">
        <v>39</v>
      </c>
      <c r="D69" t="s">
        <v>40</v>
      </c>
      <c r="E69" t="s">
        <v>51</v>
      </c>
      <c r="F69" s="12">
        <v>2800000000000000</v>
      </c>
      <c r="G69" s="12">
        <v>40000000000000</v>
      </c>
      <c r="H69" s="12">
        <v>831313316337230</v>
      </c>
      <c r="I69" s="12" t="s">
        <v>80</v>
      </c>
      <c r="J69" s="12" t="s">
        <v>81</v>
      </c>
      <c r="K69" s="12">
        <v>83774253241458.9</v>
      </c>
      <c r="L69" s="13">
        <v>0.100773380619678</v>
      </c>
      <c r="M69" s="5" t="s">
        <v>44</v>
      </c>
      <c r="N69" s="5" t="s">
        <v>45</v>
      </c>
      <c r="O69" s="5" t="s">
        <v>82</v>
      </c>
      <c r="P69" s="5" t="s">
        <v>47</v>
      </c>
      <c r="Q69" s="5" t="s">
        <v>83</v>
      </c>
    </row>
    <row r="70" ht="17" spans="1:17">
      <c r="A70" t="s">
        <v>78</v>
      </c>
      <c r="B70" t="s">
        <v>79</v>
      </c>
      <c r="C70" t="s">
        <v>39</v>
      </c>
      <c r="D70" t="s">
        <v>40</v>
      </c>
      <c r="E70" t="s">
        <v>52</v>
      </c>
      <c r="F70" s="12">
        <v>2800000000000000</v>
      </c>
      <c r="G70" s="12">
        <v>40000000000000</v>
      </c>
      <c r="H70" s="12">
        <v>742904884597947</v>
      </c>
      <c r="I70" s="12" t="s">
        <v>80</v>
      </c>
      <c r="J70" s="12" t="s">
        <v>81</v>
      </c>
      <c r="K70" s="12">
        <v>35656383326748.4</v>
      </c>
      <c r="L70" s="13">
        <v>0.0479958929682435</v>
      </c>
      <c r="M70" s="5" t="s">
        <v>44</v>
      </c>
      <c r="N70" s="5" t="s">
        <v>45</v>
      </c>
      <c r="O70" s="5" t="s">
        <v>82</v>
      </c>
      <c r="P70" s="5" t="s">
        <v>47</v>
      </c>
      <c r="Q70" s="5" t="s">
        <v>83</v>
      </c>
    </row>
    <row r="71" ht="17" spans="1:17">
      <c r="A71" t="s">
        <v>78</v>
      </c>
      <c r="B71" t="s">
        <v>79</v>
      </c>
      <c r="C71" t="s">
        <v>39</v>
      </c>
      <c r="D71" t="s">
        <v>40</v>
      </c>
      <c r="E71" t="s">
        <v>53</v>
      </c>
      <c r="F71" s="12">
        <v>2800000000000000</v>
      </c>
      <c r="G71" s="12">
        <v>40000000000000</v>
      </c>
      <c r="H71" s="12">
        <v>1889742366910030</v>
      </c>
      <c r="I71" s="12" t="s">
        <v>80</v>
      </c>
      <c r="J71" s="12" t="s">
        <v>81</v>
      </c>
      <c r="K71" s="12">
        <v>244451335930546</v>
      </c>
      <c r="L71" s="13">
        <v>0.129356964320091</v>
      </c>
      <c r="M71" s="5" t="s">
        <v>44</v>
      </c>
      <c r="N71" s="5" t="s">
        <v>45</v>
      </c>
      <c r="O71" s="5" t="s">
        <v>82</v>
      </c>
      <c r="P71" s="5" t="s">
        <v>47</v>
      </c>
      <c r="Q71" s="5" t="s">
        <v>83</v>
      </c>
    </row>
    <row r="72" ht="17" spans="1:17">
      <c r="A72" t="s">
        <v>78</v>
      </c>
      <c r="B72" t="s">
        <v>79</v>
      </c>
      <c r="C72" t="s">
        <v>39</v>
      </c>
      <c r="D72" t="s">
        <v>40</v>
      </c>
      <c r="E72" t="s">
        <v>54</v>
      </c>
      <c r="F72" s="12">
        <v>2800000000000000</v>
      </c>
      <c r="G72" s="12">
        <v>40000000000000</v>
      </c>
      <c r="H72" s="12">
        <v>3365312178085480</v>
      </c>
      <c r="I72" s="12" t="s">
        <v>80</v>
      </c>
      <c r="J72" s="12" t="s">
        <v>81</v>
      </c>
      <c r="K72" s="12">
        <v>301949841737871</v>
      </c>
      <c r="L72" s="13">
        <v>0.0897241699311384</v>
      </c>
      <c r="M72" s="5" t="s">
        <v>44</v>
      </c>
      <c r="N72" s="5" t="s">
        <v>45</v>
      </c>
      <c r="O72" s="5" t="s">
        <v>82</v>
      </c>
      <c r="P72" s="5" t="s">
        <v>47</v>
      </c>
      <c r="Q72" s="5" t="s">
        <v>83</v>
      </c>
    </row>
    <row r="73" ht="17" spans="1:17">
      <c r="A73" t="s">
        <v>78</v>
      </c>
      <c r="B73" t="s">
        <v>79</v>
      </c>
      <c r="C73" t="s">
        <v>39</v>
      </c>
      <c r="D73" t="s">
        <v>40</v>
      </c>
      <c r="E73" t="s">
        <v>55</v>
      </c>
      <c r="F73" s="12">
        <v>2800000000000000</v>
      </c>
      <c r="G73" s="12">
        <v>40000000000000</v>
      </c>
      <c r="H73" s="12">
        <v>151519104573612</v>
      </c>
      <c r="I73" s="12" t="s">
        <v>80</v>
      </c>
      <c r="J73" s="12" t="s">
        <v>81</v>
      </c>
      <c r="K73" s="12">
        <v>7289689917888.43</v>
      </c>
      <c r="L73" s="13">
        <v>0.0481106982410055</v>
      </c>
      <c r="M73" s="5" t="s">
        <v>44</v>
      </c>
      <c r="N73" s="5" t="s">
        <v>45</v>
      </c>
      <c r="O73" s="5" t="s">
        <v>82</v>
      </c>
      <c r="P73" s="5" t="s">
        <v>47</v>
      </c>
      <c r="Q73" s="5" t="s">
        <v>83</v>
      </c>
    </row>
    <row r="74" ht="17" spans="1:17">
      <c r="A74" t="s">
        <v>78</v>
      </c>
      <c r="B74" t="s">
        <v>79</v>
      </c>
      <c r="C74" t="s">
        <v>56</v>
      </c>
      <c r="D74" t="s">
        <v>57</v>
      </c>
      <c r="E74" t="s">
        <v>41</v>
      </c>
      <c r="F74" s="12">
        <v>2800000000000000</v>
      </c>
      <c r="G74" s="12">
        <v>40000000000000</v>
      </c>
      <c r="H74" s="12">
        <v>7176542404163420</v>
      </c>
      <c r="I74" s="12" t="s">
        <v>80</v>
      </c>
      <c r="J74" s="12" t="s">
        <v>81</v>
      </c>
      <c r="K74" s="12">
        <v>272131222529826</v>
      </c>
      <c r="L74" s="13">
        <v>0.0379195449847758</v>
      </c>
      <c r="M74" s="5" t="s">
        <v>44</v>
      </c>
      <c r="N74" s="5" t="s">
        <v>45</v>
      </c>
      <c r="O74" s="5" t="s">
        <v>82</v>
      </c>
      <c r="P74" s="5" t="s">
        <v>47</v>
      </c>
      <c r="Q74" s="5" t="s">
        <v>83</v>
      </c>
    </row>
    <row r="75" ht="17" spans="1:17">
      <c r="A75" t="s">
        <v>78</v>
      </c>
      <c r="B75" t="s">
        <v>79</v>
      </c>
      <c r="C75" t="s">
        <v>56</v>
      </c>
      <c r="D75" t="s">
        <v>57</v>
      </c>
      <c r="E75" t="s">
        <v>49</v>
      </c>
      <c r="F75" s="12">
        <v>2800000000000000</v>
      </c>
      <c r="G75" s="12">
        <v>40000000000000</v>
      </c>
      <c r="H75" s="12">
        <v>55840440531768.1</v>
      </c>
      <c r="I75" s="12" t="s">
        <v>80</v>
      </c>
      <c r="J75" s="12" t="s">
        <v>81</v>
      </c>
      <c r="K75" s="12">
        <v>7019368164803.17</v>
      </c>
      <c r="L75" s="13">
        <v>0.125704025576406</v>
      </c>
      <c r="M75" s="5" t="s">
        <v>44</v>
      </c>
      <c r="N75" s="5" t="s">
        <v>45</v>
      </c>
      <c r="O75" s="5" t="s">
        <v>82</v>
      </c>
      <c r="P75" s="5" t="s">
        <v>47</v>
      </c>
      <c r="Q75" s="5" t="s">
        <v>83</v>
      </c>
    </row>
    <row r="76" ht="17" spans="1:17">
      <c r="A76" t="s">
        <v>78</v>
      </c>
      <c r="B76" t="s">
        <v>79</v>
      </c>
      <c r="C76" t="s">
        <v>56</v>
      </c>
      <c r="D76" t="s">
        <v>57</v>
      </c>
      <c r="E76" t="s">
        <v>50</v>
      </c>
      <c r="F76" s="12">
        <v>2800000000000000</v>
      </c>
      <c r="G76" s="12">
        <v>40000000000000</v>
      </c>
      <c r="H76" s="12">
        <v>166416311285433</v>
      </c>
      <c r="I76" s="12" t="s">
        <v>80</v>
      </c>
      <c r="J76" s="12" t="s">
        <v>81</v>
      </c>
      <c r="K76" s="12">
        <v>11834755119680.5</v>
      </c>
      <c r="L76" s="13">
        <v>0.0711153553895435</v>
      </c>
      <c r="M76" s="5" t="s">
        <v>44</v>
      </c>
      <c r="N76" s="5" t="s">
        <v>45</v>
      </c>
      <c r="O76" s="5" t="s">
        <v>82</v>
      </c>
      <c r="P76" s="5" t="s">
        <v>47</v>
      </c>
      <c r="Q76" s="5" t="s">
        <v>83</v>
      </c>
    </row>
    <row r="77" ht="17" spans="1:17">
      <c r="A77" t="s">
        <v>78</v>
      </c>
      <c r="B77" t="s">
        <v>79</v>
      </c>
      <c r="C77" t="s">
        <v>56</v>
      </c>
      <c r="D77" t="s">
        <v>57</v>
      </c>
      <c r="E77" t="s">
        <v>51</v>
      </c>
      <c r="F77" s="12">
        <v>2800000000000000</v>
      </c>
      <c r="G77" s="12">
        <v>40000000000000</v>
      </c>
      <c r="H77" s="12">
        <v>1313328534459040</v>
      </c>
      <c r="I77" s="12" t="s">
        <v>80</v>
      </c>
      <c r="J77" s="12" t="s">
        <v>81</v>
      </c>
      <c r="K77" s="12">
        <v>83774253241458.9</v>
      </c>
      <c r="L77" s="13">
        <v>0.0637877355462815</v>
      </c>
      <c r="M77" s="5" t="s">
        <v>44</v>
      </c>
      <c r="N77" s="5" t="s">
        <v>45</v>
      </c>
      <c r="O77" s="5" t="s">
        <v>82</v>
      </c>
      <c r="P77" s="5" t="s">
        <v>47</v>
      </c>
      <c r="Q77" s="5" t="s">
        <v>83</v>
      </c>
    </row>
    <row r="78" ht="17" spans="1:17">
      <c r="A78" t="s">
        <v>78</v>
      </c>
      <c r="B78" t="s">
        <v>79</v>
      </c>
      <c r="C78" t="s">
        <v>56</v>
      </c>
      <c r="D78" t="s">
        <v>57</v>
      </c>
      <c r="E78" t="s">
        <v>52</v>
      </c>
      <c r="F78" s="12">
        <v>2800000000000000</v>
      </c>
      <c r="G78" s="12">
        <v>40000000000000</v>
      </c>
      <c r="H78" s="12">
        <v>1415792328329180</v>
      </c>
      <c r="I78" s="12" t="s">
        <v>80</v>
      </c>
      <c r="J78" s="12" t="s">
        <v>81</v>
      </c>
      <c r="K78" s="12">
        <v>35656383326748.4</v>
      </c>
      <c r="L78" s="13">
        <v>0.0251847552873997</v>
      </c>
      <c r="M78" s="5" t="s">
        <v>44</v>
      </c>
      <c r="N78" s="5" t="s">
        <v>45</v>
      </c>
      <c r="O78" s="5" t="s">
        <v>82</v>
      </c>
      <c r="P78" s="5" t="s">
        <v>47</v>
      </c>
      <c r="Q78" s="5" t="s">
        <v>83</v>
      </c>
    </row>
    <row r="79" ht="17" spans="1:17">
      <c r="A79" t="s">
        <v>78</v>
      </c>
      <c r="B79" t="s">
        <v>79</v>
      </c>
      <c r="C79" t="s">
        <v>56</v>
      </c>
      <c r="D79" t="s">
        <v>57</v>
      </c>
      <c r="E79" t="s">
        <v>53</v>
      </c>
      <c r="F79" s="12">
        <v>2800000000000000</v>
      </c>
      <c r="G79" s="12">
        <v>40000000000000</v>
      </c>
      <c r="H79" s="12">
        <v>1867887016126220</v>
      </c>
      <c r="I79" s="12" t="s">
        <v>80</v>
      </c>
      <c r="J79" s="12" t="s">
        <v>81</v>
      </c>
      <c r="K79" s="12">
        <v>244451335930546</v>
      </c>
      <c r="L79" s="13">
        <v>0.130870515090099</v>
      </c>
      <c r="M79" s="5" t="s">
        <v>44</v>
      </c>
      <c r="N79" s="5" t="s">
        <v>45</v>
      </c>
      <c r="O79" s="5" t="s">
        <v>82</v>
      </c>
      <c r="P79" s="5" t="s">
        <v>47</v>
      </c>
      <c r="Q79" s="5" t="s">
        <v>83</v>
      </c>
    </row>
    <row r="80" ht="17" spans="1:17">
      <c r="A80" t="s">
        <v>78</v>
      </c>
      <c r="B80" t="s">
        <v>79</v>
      </c>
      <c r="C80" t="s">
        <v>56</v>
      </c>
      <c r="D80" t="s">
        <v>57</v>
      </c>
      <c r="E80" t="s">
        <v>54</v>
      </c>
      <c r="F80" s="12">
        <v>2800000000000000</v>
      </c>
      <c r="G80" s="12">
        <v>40000000000000</v>
      </c>
      <c r="H80" s="12">
        <v>4027368293632010</v>
      </c>
      <c r="I80" s="12" t="s">
        <v>80</v>
      </c>
      <c r="J80" s="12" t="s">
        <v>81</v>
      </c>
      <c r="K80" s="12">
        <v>301949841737871</v>
      </c>
      <c r="L80" s="13">
        <v>0.0749744795417166</v>
      </c>
      <c r="M80" s="5" t="s">
        <v>44</v>
      </c>
      <c r="N80" s="5" t="s">
        <v>45</v>
      </c>
      <c r="O80" s="5" t="s">
        <v>82</v>
      </c>
      <c r="P80" s="5" t="s">
        <v>47</v>
      </c>
      <c r="Q80" s="5" t="s">
        <v>83</v>
      </c>
    </row>
    <row r="81" ht="17" spans="1:17">
      <c r="A81" t="s">
        <v>78</v>
      </c>
      <c r="B81" t="s">
        <v>79</v>
      </c>
      <c r="C81" t="s">
        <v>56</v>
      </c>
      <c r="D81" t="s">
        <v>57</v>
      </c>
      <c r="E81" t="s">
        <v>55</v>
      </c>
      <c r="F81" s="12">
        <v>2800000000000000</v>
      </c>
      <c r="G81" s="12">
        <v>40000000000000</v>
      </c>
      <c r="H81" s="12">
        <v>156462902807672</v>
      </c>
      <c r="I81" s="12" t="s">
        <v>80</v>
      </c>
      <c r="J81" s="12" t="s">
        <v>81</v>
      </c>
      <c r="K81" s="12">
        <v>7289689917888.43</v>
      </c>
      <c r="L81" s="13">
        <v>0.0465905322416848</v>
      </c>
      <c r="M81" s="5" t="s">
        <v>44</v>
      </c>
      <c r="N81" s="5" t="s">
        <v>45</v>
      </c>
      <c r="O81" s="5" t="s">
        <v>82</v>
      </c>
      <c r="P81" s="5" t="s">
        <v>47</v>
      </c>
      <c r="Q81" s="5" t="s">
        <v>83</v>
      </c>
    </row>
    <row r="82" ht="17" spans="1:17">
      <c r="A82" t="s">
        <v>78</v>
      </c>
      <c r="B82" t="s">
        <v>79</v>
      </c>
      <c r="C82" t="s">
        <v>58</v>
      </c>
      <c r="D82" t="s">
        <v>59</v>
      </c>
      <c r="E82" t="s">
        <v>41</v>
      </c>
      <c r="F82" s="12">
        <v>2800000000000000</v>
      </c>
      <c r="G82" s="12">
        <v>40000000000000</v>
      </c>
      <c r="H82" s="12">
        <v>7260409160411050</v>
      </c>
      <c r="I82" s="12" t="s">
        <v>80</v>
      </c>
      <c r="J82" s="12" t="s">
        <v>81</v>
      </c>
      <c r="K82" s="12">
        <v>272131222529826</v>
      </c>
      <c r="L82" s="13">
        <v>0.0374815270761433</v>
      </c>
      <c r="M82" s="5" t="s">
        <v>44</v>
      </c>
      <c r="N82" s="5" t="s">
        <v>45</v>
      </c>
      <c r="O82" s="5" t="s">
        <v>82</v>
      </c>
      <c r="P82" s="5" t="s">
        <v>47</v>
      </c>
      <c r="Q82" s="5" t="s">
        <v>83</v>
      </c>
    </row>
    <row r="83" ht="17" spans="1:17">
      <c r="A83" t="s">
        <v>78</v>
      </c>
      <c r="B83" t="s">
        <v>79</v>
      </c>
      <c r="C83" t="s">
        <v>58</v>
      </c>
      <c r="D83" t="s">
        <v>59</v>
      </c>
      <c r="E83" t="s">
        <v>49</v>
      </c>
      <c r="F83" s="12">
        <v>2800000000000000</v>
      </c>
      <c r="G83" s="12">
        <v>40000000000000</v>
      </c>
      <c r="H83" s="12">
        <v>126286239584792</v>
      </c>
      <c r="I83" s="12" t="s">
        <v>80</v>
      </c>
      <c r="J83" s="12" t="s">
        <v>81</v>
      </c>
      <c r="K83" s="12">
        <v>7019368164803.17</v>
      </c>
      <c r="L83" s="13">
        <v>0.0555830008707338</v>
      </c>
      <c r="M83" s="5" t="s">
        <v>44</v>
      </c>
      <c r="N83" s="5" t="s">
        <v>45</v>
      </c>
      <c r="O83" s="5" t="s">
        <v>82</v>
      </c>
      <c r="P83" s="5" t="s">
        <v>47</v>
      </c>
      <c r="Q83" s="5" t="s">
        <v>83</v>
      </c>
    </row>
    <row r="84" ht="17" spans="1:17">
      <c r="A84" t="s">
        <v>78</v>
      </c>
      <c r="B84" t="s">
        <v>79</v>
      </c>
      <c r="C84" t="s">
        <v>58</v>
      </c>
      <c r="D84" t="s">
        <v>59</v>
      </c>
      <c r="E84" t="s">
        <v>50</v>
      </c>
      <c r="F84" s="12">
        <v>2800000000000000</v>
      </c>
      <c r="G84" s="12">
        <v>40000000000000</v>
      </c>
      <c r="H84" s="12">
        <v>254168517119702</v>
      </c>
      <c r="I84" s="12" t="s">
        <v>80</v>
      </c>
      <c r="J84" s="12" t="s">
        <v>81</v>
      </c>
      <c r="K84" s="12">
        <v>11834755119680.5</v>
      </c>
      <c r="L84" s="13">
        <v>0.0465626319647875</v>
      </c>
      <c r="M84" s="5" t="s">
        <v>44</v>
      </c>
      <c r="N84" s="5" t="s">
        <v>45</v>
      </c>
      <c r="O84" s="5" t="s">
        <v>82</v>
      </c>
      <c r="P84" s="5" t="s">
        <v>47</v>
      </c>
      <c r="Q84" s="5" t="s">
        <v>83</v>
      </c>
    </row>
    <row r="85" ht="17" spans="1:17">
      <c r="A85" t="s">
        <v>78</v>
      </c>
      <c r="B85" t="s">
        <v>79</v>
      </c>
      <c r="C85" t="s">
        <v>58</v>
      </c>
      <c r="D85" t="s">
        <v>59</v>
      </c>
      <c r="E85" t="s">
        <v>51</v>
      </c>
      <c r="F85" s="12">
        <v>2800000000000000</v>
      </c>
      <c r="G85" s="12">
        <v>40000000000000</v>
      </c>
      <c r="H85" s="12">
        <v>3378106424264870</v>
      </c>
      <c r="I85" s="12" t="s">
        <v>80</v>
      </c>
      <c r="J85" s="12" t="s">
        <v>81</v>
      </c>
      <c r="K85" s="12">
        <v>83774253241458.9</v>
      </c>
      <c r="L85" s="13">
        <v>0.0247991752538375</v>
      </c>
      <c r="M85" s="5" t="s">
        <v>44</v>
      </c>
      <c r="N85" s="5" t="s">
        <v>45</v>
      </c>
      <c r="O85" s="5" t="s">
        <v>82</v>
      </c>
      <c r="P85" s="5" t="s">
        <v>47</v>
      </c>
      <c r="Q85" s="5" t="s">
        <v>83</v>
      </c>
    </row>
    <row r="86" ht="17" spans="1:17">
      <c r="A86" t="s">
        <v>78</v>
      </c>
      <c r="B86" t="s">
        <v>79</v>
      </c>
      <c r="C86" t="s">
        <v>58</v>
      </c>
      <c r="D86" t="s">
        <v>59</v>
      </c>
      <c r="E86" t="s">
        <v>52</v>
      </c>
      <c r="F86" s="12">
        <v>2800000000000000</v>
      </c>
      <c r="G86" s="12">
        <v>40000000000000</v>
      </c>
      <c r="H86" s="12">
        <v>616032262215690</v>
      </c>
      <c r="I86" s="12" t="s">
        <v>80</v>
      </c>
      <c r="J86" s="12" t="s">
        <v>81</v>
      </c>
      <c r="K86" s="12">
        <v>35656383326748.4</v>
      </c>
      <c r="L86" s="13">
        <v>0.057880707738427</v>
      </c>
      <c r="M86" s="5" t="s">
        <v>44</v>
      </c>
      <c r="N86" s="5" t="s">
        <v>45</v>
      </c>
      <c r="O86" s="5" t="s">
        <v>82</v>
      </c>
      <c r="P86" s="5" t="s">
        <v>47</v>
      </c>
      <c r="Q86" s="5" t="s">
        <v>83</v>
      </c>
    </row>
    <row r="87" ht="17" spans="1:17">
      <c r="A87" t="s">
        <v>78</v>
      </c>
      <c r="B87" t="s">
        <v>79</v>
      </c>
      <c r="C87" t="s">
        <v>58</v>
      </c>
      <c r="D87" t="s">
        <v>59</v>
      </c>
      <c r="E87" t="s">
        <v>53</v>
      </c>
      <c r="F87" s="12">
        <v>2800000000000000</v>
      </c>
      <c r="G87" s="12">
        <v>40000000000000</v>
      </c>
      <c r="H87" s="12">
        <v>5441960827712570</v>
      </c>
      <c r="I87" s="12" t="s">
        <v>80</v>
      </c>
      <c r="J87" s="12" t="s">
        <v>81</v>
      </c>
      <c r="K87" s="12">
        <v>244451335930546</v>
      </c>
      <c r="L87" s="13">
        <v>0.0449197161959904</v>
      </c>
      <c r="M87" s="5" t="s">
        <v>44</v>
      </c>
      <c r="N87" s="5" t="s">
        <v>45</v>
      </c>
      <c r="O87" s="5" t="s">
        <v>82</v>
      </c>
      <c r="P87" s="5" t="s">
        <v>47</v>
      </c>
      <c r="Q87" s="5" t="s">
        <v>83</v>
      </c>
    </row>
    <row r="88" ht="17" spans="1:17">
      <c r="A88" t="s">
        <v>78</v>
      </c>
      <c r="B88" t="s">
        <v>79</v>
      </c>
      <c r="C88" t="s">
        <v>58</v>
      </c>
      <c r="D88" t="s">
        <v>59</v>
      </c>
      <c r="E88" t="s">
        <v>54</v>
      </c>
      <c r="F88" s="12">
        <v>2800000000000000</v>
      </c>
      <c r="G88" s="12">
        <v>40000000000000</v>
      </c>
      <c r="H88" s="12">
        <v>6466237992927280</v>
      </c>
      <c r="I88" s="12" t="s">
        <v>80</v>
      </c>
      <c r="J88" s="12" t="s">
        <v>81</v>
      </c>
      <c r="K88" s="12">
        <v>301949841737871</v>
      </c>
      <c r="L88" s="13">
        <v>0.0466963699864034</v>
      </c>
      <c r="M88" s="5" t="s">
        <v>44</v>
      </c>
      <c r="N88" s="5" t="s">
        <v>45</v>
      </c>
      <c r="O88" s="5" t="s">
        <v>82</v>
      </c>
      <c r="P88" s="5" t="s">
        <v>47</v>
      </c>
      <c r="Q88" s="5" t="s">
        <v>83</v>
      </c>
    </row>
    <row r="89" ht="17" spans="1:17">
      <c r="A89" t="s">
        <v>78</v>
      </c>
      <c r="B89" t="s">
        <v>79</v>
      </c>
      <c r="C89" t="s">
        <v>58</v>
      </c>
      <c r="D89" t="s">
        <v>59</v>
      </c>
      <c r="E89" t="s">
        <v>55</v>
      </c>
      <c r="F89" s="12">
        <v>2800000000000000</v>
      </c>
      <c r="G89" s="12">
        <v>40000000000000</v>
      </c>
      <c r="H89" s="12">
        <v>138074294431215</v>
      </c>
      <c r="I89" s="12" t="s">
        <v>80</v>
      </c>
      <c r="J89" s="12" t="s">
        <v>81</v>
      </c>
      <c r="K89" s="12">
        <v>7289689917888.43</v>
      </c>
      <c r="L89" s="13">
        <v>0.0527954167567372</v>
      </c>
      <c r="M89" s="5" t="s">
        <v>44</v>
      </c>
      <c r="N89" s="5" t="s">
        <v>45</v>
      </c>
      <c r="O89" s="5" t="s">
        <v>82</v>
      </c>
      <c r="P89" s="5" t="s">
        <v>47</v>
      </c>
      <c r="Q89" s="5" t="s">
        <v>83</v>
      </c>
    </row>
    <row r="90" ht="34" spans="1:17">
      <c r="A90" t="s">
        <v>78</v>
      </c>
      <c r="B90" t="s">
        <v>79</v>
      </c>
      <c r="C90" t="s">
        <v>60</v>
      </c>
      <c r="D90" t="s">
        <v>61</v>
      </c>
      <c r="E90" t="s">
        <v>41</v>
      </c>
      <c r="F90" s="12">
        <v>2800000000000000</v>
      </c>
      <c r="G90" s="12">
        <v>40000000000000</v>
      </c>
      <c r="H90" s="12">
        <v>6351037801449460</v>
      </c>
      <c r="I90" s="12" t="s">
        <v>80</v>
      </c>
      <c r="J90" s="12" t="s">
        <v>81</v>
      </c>
      <c r="K90" s="12">
        <v>272131222529826</v>
      </c>
      <c r="L90" s="13">
        <v>0.0428483077943134</v>
      </c>
      <c r="M90" s="5" t="s">
        <v>84</v>
      </c>
      <c r="N90" s="5" t="s">
        <v>65</v>
      </c>
      <c r="O90" s="5" t="s">
        <v>82</v>
      </c>
      <c r="P90" s="5" t="s">
        <v>85</v>
      </c>
      <c r="Q90" s="5" t="s">
        <v>83</v>
      </c>
    </row>
    <row r="91" ht="34" spans="1:17">
      <c r="A91" t="s">
        <v>78</v>
      </c>
      <c r="B91" t="s">
        <v>79</v>
      </c>
      <c r="C91" t="s">
        <v>60</v>
      </c>
      <c r="D91" t="s">
        <v>61</v>
      </c>
      <c r="E91" t="s">
        <v>49</v>
      </c>
      <c r="F91" s="12">
        <v>2800000000000000</v>
      </c>
      <c r="G91" s="12">
        <v>40000000000000</v>
      </c>
      <c r="H91" s="12">
        <v>164053577885890</v>
      </c>
      <c r="I91" s="12" t="s">
        <v>80</v>
      </c>
      <c r="J91" s="12" t="s">
        <v>81</v>
      </c>
      <c r="K91" s="12">
        <v>7019368164803.17</v>
      </c>
      <c r="L91" s="13">
        <v>0.0427870471053401</v>
      </c>
      <c r="M91" s="5" t="s">
        <v>84</v>
      </c>
      <c r="N91" s="5" t="s">
        <v>65</v>
      </c>
      <c r="O91" s="5" t="s">
        <v>82</v>
      </c>
      <c r="P91" s="5" t="s">
        <v>85</v>
      </c>
      <c r="Q91" s="5" t="s">
        <v>83</v>
      </c>
    </row>
    <row r="92" ht="34" spans="1:17">
      <c r="A92" t="s">
        <v>78</v>
      </c>
      <c r="B92" t="s">
        <v>79</v>
      </c>
      <c r="C92" t="s">
        <v>60</v>
      </c>
      <c r="D92" t="s">
        <v>61</v>
      </c>
      <c r="E92" t="s">
        <v>50</v>
      </c>
      <c r="F92" s="12">
        <v>2800000000000000</v>
      </c>
      <c r="G92" s="12">
        <v>40000000000000</v>
      </c>
      <c r="H92" s="12">
        <v>277036498840841</v>
      </c>
      <c r="I92" s="12" t="s">
        <v>80</v>
      </c>
      <c r="J92" s="12" t="s">
        <v>81</v>
      </c>
      <c r="K92" s="12">
        <v>11834755119680.5</v>
      </c>
      <c r="L92" s="13">
        <v>0.0427191188496777</v>
      </c>
      <c r="M92" s="5" t="s">
        <v>84</v>
      </c>
      <c r="N92" s="5" t="s">
        <v>65</v>
      </c>
      <c r="O92" s="5" t="s">
        <v>82</v>
      </c>
      <c r="P92" s="5" t="s">
        <v>85</v>
      </c>
      <c r="Q92" s="5" t="s">
        <v>83</v>
      </c>
    </row>
    <row r="93" ht="34" spans="1:17">
      <c r="A93" t="s">
        <v>78</v>
      </c>
      <c r="B93" t="s">
        <v>79</v>
      </c>
      <c r="C93" t="s">
        <v>60</v>
      </c>
      <c r="D93" t="s">
        <v>61</v>
      </c>
      <c r="E93" t="s">
        <v>51</v>
      </c>
      <c r="F93" s="12">
        <v>2800000000000000</v>
      </c>
      <c r="G93" s="12">
        <v>40000000000000</v>
      </c>
      <c r="H93" s="12">
        <v>1989358851385540</v>
      </c>
      <c r="I93" s="12" t="s">
        <v>80</v>
      </c>
      <c r="J93" s="12" t="s">
        <v>81</v>
      </c>
      <c r="K93" s="12">
        <v>83774253241458.9</v>
      </c>
      <c r="L93" s="13">
        <v>0.0421111822952968</v>
      </c>
      <c r="M93" s="5" t="s">
        <v>84</v>
      </c>
      <c r="N93" s="5" t="s">
        <v>65</v>
      </c>
      <c r="O93" s="5" t="s">
        <v>82</v>
      </c>
      <c r="P93" s="5" t="s">
        <v>85</v>
      </c>
      <c r="Q93" s="5" t="s">
        <v>83</v>
      </c>
    </row>
    <row r="94" ht="34" spans="1:17">
      <c r="A94" t="s">
        <v>78</v>
      </c>
      <c r="B94" t="s">
        <v>79</v>
      </c>
      <c r="C94" t="s">
        <v>60</v>
      </c>
      <c r="D94" t="s">
        <v>61</v>
      </c>
      <c r="E94" t="s">
        <v>52</v>
      </c>
      <c r="F94" s="12">
        <v>2800000000000000</v>
      </c>
      <c r="G94" s="12">
        <v>40000000000000</v>
      </c>
      <c r="H94" s="12">
        <v>834183547736988</v>
      </c>
      <c r="I94" s="12" t="s">
        <v>80</v>
      </c>
      <c r="J94" s="12" t="s">
        <v>81</v>
      </c>
      <c r="K94" s="12">
        <v>35656383326748.4</v>
      </c>
      <c r="L94" s="13">
        <v>0.0427440500636565</v>
      </c>
      <c r="M94" s="5" t="s">
        <v>84</v>
      </c>
      <c r="N94" s="5" t="s">
        <v>65</v>
      </c>
      <c r="O94" s="5" t="s">
        <v>82</v>
      </c>
      <c r="P94" s="5" t="s">
        <v>85</v>
      </c>
      <c r="Q94" s="5" t="s">
        <v>83</v>
      </c>
    </row>
    <row r="95" ht="34" spans="1:17">
      <c r="A95" t="s">
        <v>78</v>
      </c>
      <c r="B95" t="s">
        <v>79</v>
      </c>
      <c r="C95" t="s">
        <v>60</v>
      </c>
      <c r="D95" t="s">
        <v>61</v>
      </c>
      <c r="E95" t="s">
        <v>53</v>
      </c>
      <c r="F95" s="12">
        <v>2800000000000000</v>
      </c>
      <c r="G95" s="12">
        <v>40000000000000</v>
      </c>
      <c r="H95" s="12">
        <v>5709646492819680</v>
      </c>
      <c r="I95" s="12" t="s">
        <v>80</v>
      </c>
      <c r="J95" s="12" t="s">
        <v>81</v>
      </c>
      <c r="K95" s="12">
        <v>244451335930546</v>
      </c>
      <c r="L95" s="13">
        <v>0.0428137427138373</v>
      </c>
      <c r="M95" s="5" t="s">
        <v>84</v>
      </c>
      <c r="N95" s="5" t="s">
        <v>65</v>
      </c>
      <c r="O95" s="5" t="s">
        <v>82</v>
      </c>
      <c r="P95" s="5" t="s">
        <v>85</v>
      </c>
      <c r="Q95" s="5" t="s">
        <v>83</v>
      </c>
    </row>
    <row r="96" ht="34" spans="1:17">
      <c r="A96" t="s">
        <v>78</v>
      </c>
      <c r="B96" t="s">
        <v>79</v>
      </c>
      <c r="C96" t="s">
        <v>60</v>
      </c>
      <c r="D96" t="s">
        <v>61</v>
      </c>
      <c r="E96" t="s">
        <v>54</v>
      </c>
      <c r="F96" s="12">
        <v>2800000000000000</v>
      </c>
      <c r="G96" s="12">
        <v>40000000000000</v>
      </c>
      <c r="H96" s="12">
        <v>7049538648768420</v>
      </c>
      <c r="I96" s="12" t="s">
        <v>80</v>
      </c>
      <c r="J96" s="12" t="s">
        <v>81</v>
      </c>
      <c r="K96" s="12">
        <v>301949841737871</v>
      </c>
      <c r="L96" s="13">
        <v>0.0428325677440782</v>
      </c>
      <c r="M96" s="5" t="s">
        <v>84</v>
      </c>
      <c r="N96" s="5" t="s">
        <v>65</v>
      </c>
      <c r="O96" s="5" t="s">
        <v>82</v>
      </c>
      <c r="P96" s="5" t="s">
        <v>85</v>
      </c>
      <c r="Q96" s="5" t="s">
        <v>83</v>
      </c>
    </row>
    <row r="97" ht="34" spans="1:17">
      <c r="A97" t="s">
        <v>78</v>
      </c>
      <c r="B97" t="s">
        <v>79</v>
      </c>
      <c r="C97" t="s">
        <v>60</v>
      </c>
      <c r="D97" t="s">
        <v>61</v>
      </c>
      <c r="E97" t="s">
        <v>55</v>
      </c>
      <c r="F97" s="12">
        <v>2800000000000000</v>
      </c>
      <c r="G97" s="12">
        <v>40000000000000</v>
      </c>
      <c r="H97" s="12">
        <v>171903228999468</v>
      </c>
      <c r="I97" s="12" t="s">
        <v>80</v>
      </c>
      <c r="J97" s="12" t="s">
        <v>81</v>
      </c>
      <c r="K97" s="12">
        <v>7289689917888.43</v>
      </c>
      <c r="L97" s="13">
        <v>0.0424057765541506</v>
      </c>
      <c r="M97" s="5" t="s">
        <v>84</v>
      </c>
      <c r="N97" s="5" t="s">
        <v>65</v>
      </c>
      <c r="O97" s="5" t="s">
        <v>82</v>
      </c>
      <c r="P97" s="5" t="s">
        <v>85</v>
      </c>
      <c r="Q97" s="5" t="s">
        <v>83</v>
      </c>
    </row>
    <row r="98" ht="17" spans="1:17">
      <c r="A98" t="s">
        <v>78</v>
      </c>
      <c r="B98" t="s">
        <v>79</v>
      </c>
      <c r="C98" t="s">
        <v>70</v>
      </c>
      <c r="D98" t="s">
        <v>71</v>
      </c>
      <c r="E98" t="s">
        <v>41</v>
      </c>
      <c r="F98" s="12">
        <v>2800000000000000</v>
      </c>
      <c r="G98" s="12">
        <v>40000000000000</v>
      </c>
      <c r="H98" s="12">
        <v>6063058302387770</v>
      </c>
      <c r="I98" s="12" t="s">
        <v>80</v>
      </c>
      <c r="J98" s="12" t="s">
        <v>81</v>
      </c>
      <c r="K98" s="12">
        <v>272131222529826</v>
      </c>
      <c r="L98" s="13">
        <v>0.0448834909640658</v>
      </c>
      <c r="M98" s="5" t="s">
        <v>44</v>
      </c>
      <c r="N98" s="5" t="s">
        <v>45</v>
      </c>
      <c r="O98" s="5" t="s">
        <v>82</v>
      </c>
      <c r="P98" s="5" t="s">
        <v>47</v>
      </c>
      <c r="Q98" s="5" t="s">
        <v>83</v>
      </c>
    </row>
    <row r="99" ht="17" spans="1:17">
      <c r="A99" t="s">
        <v>78</v>
      </c>
      <c r="B99" t="s">
        <v>79</v>
      </c>
      <c r="C99" t="s">
        <v>70</v>
      </c>
      <c r="D99" t="s">
        <v>71</v>
      </c>
      <c r="E99" t="s">
        <v>49</v>
      </c>
      <c r="F99" s="12">
        <v>2800000000000000</v>
      </c>
      <c r="G99" s="12">
        <v>40000000000000</v>
      </c>
      <c r="H99" s="12">
        <v>171263530365504</v>
      </c>
      <c r="I99" s="12" t="s">
        <v>80</v>
      </c>
      <c r="J99" s="12" t="s">
        <v>81</v>
      </c>
      <c r="K99" s="12">
        <v>7019368164803.17</v>
      </c>
      <c r="L99" s="13">
        <v>0.0409857729186283</v>
      </c>
      <c r="M99" s="5" t="s">
        <v>44</v>
      </c>
      <c r="N99" s="5" t="s">
        <v>45</v>
      </c>
      <c r="O99" s="5" t="s">
        <v>82</v>
      </c>
      <c r="P99" s="5" t="s">
        <v>47</v>
      </c>
      <c r="Q99" s="5" t="s">
        <v>83</v>
      </c>
    </row>
    <row r="100" ht="17" spans="1:17">
      <c r="A100" t="s">
        <v>78</v>
      </c>
      <c r="B100" t="s">
        <v>79</v>
      </c>
      <c r="C100" t="s">
        <v>70</v>
      </c>
      <c r="D100" t="s">
        <v>71</v>
      </c>
      <c r="E100" t="s">
        <v>50</v>
      </c>
      <c r="F100" s="12">
        <v>2800000000000000</v>
      </c>
      <c r="G100" s="12">
        <v>40000000000000</v>
      </c>
      <c r="H100" s="12">
        <v>227295010442640</v>
      </c>
      <c r="I100" s="12" t="s">
        <v>80</v>
      </c>
      <c r="J100" s="12" t="s">
        <v>81</v>
      </c>
      <c r="K100" s="12">
        <v>11834755119680.5</v>
      </c>
      <c r="L100" s="13">
        <v>0.0520678174880882</v>
      </c>
      <c r="M100" s="5" t="s">
        <v>44</v>
      </c>
      <c r="N100" s="5" t="s">
        <v>45</v>
      </c>
      <c r="O100" s="5" t="s">
        <v>82</v>
      </c>
      <c r="P100" s="5" t="s">
        <v>47</v>
      </c>
      <c r="Q100" s="5" t="s">
        <v>83</v>
      </c>
    </row>
    <row r="101" ht="17" spans="1:17">
      <c r="A101" t="s">
        <v>78</v>
      </c>
      <c r="B101" t="s">
        <v>79</v>
      </c>
      <c r="C101" t="s">
        <v>70</v>
      </c>
      <c r="D101" t="s">
        <v>71</v>
      </c>
      <c r="E101" t="s">
        <v>51</v>
      </c>
      <c r="F101" s="12">
        <v>2800000000000000</v>
      </c>
      <c r="G101" s="12">
        <v>40000000000000</v>
      </c>
      <c r="H101" s="12">
        <v>1736268638820580</v>
      </c>
      <c r="I101" s="12" t="s">
        <v>80</v>
      </c>
      <c r="J101" s="12" t="s">
        <v>81</v>
      </c>
      <c r="K101" s="12">
        <v>83774253241458.9</v>
      </c>
      <c r="L101" s="13">
        <v>0.0482495918940088</v>
      </c>
      <c r="M101" s="5" t="s">
        <v>44</v>
      </c>
      <c r="N101" s="5" t="s">
        <v>45</v>
      </c>
      <c r="O101" s="5" t="s">
        <v>82</v>
      </c>
      <c r="P101" s="5" t="s">
        <v>47</v>
      </c>
      <c r="Q101" s="5" t="s">
        <v>83</v>
      </c>
    </row>
    <row r="102" ht="17" spans="1:17">
      <c r="A102" t="s">
        <v>78</v>
      </c>
      <c r="B102" t="s">
        <v>79</v>
      </c>
      <c r="C102" t="s">
        <v>70</v>
      </c>
      <c r="D102" t="s">
        <v>71</v>
      </c>
      <c r="E102" t="s">
        <v>52</v>
      </c>
      <c r="F102" s="12">
        <v>2800000000000000</v>
      </c>
      <c r="G102" s="12">
        <v>40000000000000</v>
      </c>
      <c r="H102" s="12">
        <v>782664777745845</v>
      </c>
      <c r="I102" s="12" t="s">
        <v>80</v>
      </c>
      <c r="J102" s="12" t="s">
        <v>81</v>
      </c>
      <c r="K102" s="12">
        <v>35656383326748.4</v>
      </c>
      <c r="L102" s="13">
        <v>0.0455576695676052</v>
      </c>
      <c r="M102" s="5" t="s">
        <v>44</v>
      </c>
      <c r="N102" s="5" t="s">
        <v>45</v>
      </c>
      <c r="O102" s="5" t="s">
        <v>82</v>
      </c>
      <c r="P102" s="5" t="s">
        <v>47</v>
      </c>
      <c r="Q102" s="5" t="s">
        <v>83</v>
      </c>
    </row>
    <row r="103" ht="17" spans="1:17">
      <c r="A103" t="s">
        <v>78</v>
      </c>
      <c r="B103" t="s">
        <v>79</v>
      </c>
      <c r="C103" t="s">
        <v>70</v>
      </c>
      <c r="D103" t="s">
        <v>71</v>
      </c>
      <c r="E103" t="s">
        <v>53</v>
      </c>
      <c r="F103" s="12">
        <v>2800000000000000</v>
      </c>
      <c r="G103" s="12">
        <v>40000000000000</v>
      </c>
      <c r="H103" s="12">
        <v>5542822492725150</v>
      </c>
      <c r="I103" s="12" t="s">
        <v>80</v>
      </c>
      <c r="J103" s="12" t="s">
        <v>81</v>
      </c>
      <c r="K103" s="12">
        <v>244451335930546</v>
      </c>
      <c r="L103" s="13">
        <v>0.0441023208394971</v>
      </c>
      <c r="M103" s="5" t="s">
        <v>44</v>
      </c>
      <c r="N103" s="5" t="s">
        <v>45</v>
      </c>
      <c r="O103" s="5" t="s">
        <v>82</v>
      </c>
      <c r="P103" s="5" t="s">
        <v>47</v>
      </c>
      <c r="Q103" s="5" t="s">
        <v>83</v>
      </c>
    </row>
    <row r="104" ht="17" spans="1:17">
      <c r="A104" t="s">
        <v>78</v>
      </c>
      <c r="B104" t="s">
        <v>79</v>
      </c>
      <c r="C104" t="s">
        <v>70</v>
      </c>
      <c r="D104" t="s">
        <v>71</v>
      </c>
      <c r="E104" t="s">
        <v>54</v>
      </c>
      <c r="F104" s="12">
        <v>2800000000000000</v>
      </c>
      <c r="G104" s="12">
        <v>40000000000000</v>
      </c>
      <c r="H104" s="12">
        <v>6843313723352560</v>
      </c>
      <c r="I104" s="12" t="s">
        <v>80</v>
      </c>
      <c r="J104" s="12" t="s">
        <v>81</v>
      </c>
      <c r="K104" s="12">
        <v>301949841737871</v>
      </c>
      <c r="L104" s="13">
        <v>0.0441233376028748</v>
      </c>
      <c r="M104" s="5" t="s">
        <v>44</v>
      </c>
      <c r="N104" s="5" t="s">
        <v>45</v>
      </c>
      <c r="O104" s="5" t="s">
        <v>82</v>
      </c>
      <c r="P104" s="5" t="s">
        <v>47</v>
      </c>
      <c r="Q104" s="5" t="s">
        <v>83</v>
      </c>
    </row>
    <row r="105" ht="17" spans="1:17">
      <c r="A105" t="s">
        <v>78</v>
      </c>
      <c r="B105" t="s">
        <v>79</v>
      </c>
      <c r="C105" t="s">
        <v>70</v>
      </c>
      <c r="D105" t="s">
        <v>71</v>
      </c>
      <c r="E105" t="s">
        <v>55</v>
      </c>
      <c r="F105" s="12">
        <v>2800000000000000</v>
      </c>
      <c r="G105" s="12">
        <v>40000000000000</v>
      </c>
      <c r="H105" s="12">
        <v>144726221002005</v>
      </c>
      <c r="I105" s="12" t="s">
        <v>80</v>
      </c>
      <c r="J105" s="12" t="s">
        <v>81</v>
      </c>
      <c r="K105" s="12">
        <v>7289689917888.43</v>
      </c>
      <c r="L105" s="13">
        <v>0.0503688265154621</v>
      </c>
      <c r="M105" s="5" t="s">
        <v>44</v>
      </c>
      <c r="N105" s="5" t="s">
        <v>45</v>
      </c>
      <c r="O105" s="5" t="s">
        <v>82</v>
      </c>
      <c r="P105" s="5" t="s">
        <v>47</v>
      </c>
      <c r="Q105" s="5" t="s">
        <v>83</v>
      </c>
    </row>
    <row r="106" ht="17" spans="1:17">
      <c r="A106" t="s">
        <v>78</v>
      </c>
      <c r="B106" t="s">
        <v>79</v>
      </c>
      <c r="C106" t="s">
        <v>72</v>
      </c>
      <c r="D106" t="s">
        <v>73</v>
      </c>
      <c r="E106" t="s">
        <v>41</v>
      </c>
      <c r="F106" s="12">
        <v>2800000000000000</v>
      </c>
      <c r="G106" s="12">
        <v>40000000000000</v>
      </c>
      <c r="H106" s="12">
        <v>6351235300125980</v>
      </c>
      <c r="I106" s="12" t="s">
        <v>80</v>
      </c>
      <c r="J106" s="12" t="s">
        <v>81</v>
      </c>
      <c r="K106" s="12">
        <v>272131222529826</v>
      </c>
      <c r="L106" s="13">
        <v>0.0428469753788571</v>
      </c>
      <c r="M106" s="5" t="s">
        <v>44</v>
      </c>
      <c r="N106" s="5" t="s">
        <v>45</v>
      </c>
      <c r="O106" s="5" t="s">
        <v>82</v>
      </c>
      <c r="P106" s="5" t="s">
        <v>47</v>
      </c>
      <c r="Q106" s="5" t="s">
        <v>83</v>
      </c>
    </row>
    <row r="107" ht="17" spans="1:17">
      <c r="A107" t="s">
        <v>78</v>
      </c>
      <c r="B107" t="s">
        <v>79</v>
      </c>
      <c r="C107" t="s">
        <v>72</v>
      </c>
      <c r="D107" t="s">
        <v>73</v>
      </c>
      <c r="E107" t="s">
        <v>49</v>
      </c>
      <c r="F107" s="12">
        <v>2800000000000000</v>
      </c>
      <c r="G107" s="12">
        <v>40000000000000</v>
      </c>
      <c r="H107" s="12">
        <v>129391564023597</v>
      </c>
      <c r="I107" s="12" t="s">
        <v>80</v>
      </c>
      <c r="J107" s="12" t="s">
        <v>81</v>
      </c>
      <c r="K107" s="12">
        <v>7019368164803.17</v>
      </c>
      <c r="L107" s="13">
        <v>0.0542490402505919</v>
      </c>
      <c r="M107" s="5" t="s">
        <v>44</v>
      </c>
      <c r="N107" s="5" t="s">
        <v>45</v>
      </c>
      <c r="O107" s="5" t="s">
        <v>82</v>
      </c>
      <c r="P107" s="5" t="s">
        <v>47</v>
      </c>
      <c r="Q107" s="5" t="s">
        <v>83</v>
      </c>
    </row>
    <row r="108" ht="17" spans="1:17">
      <c r="A108" t="s">
        <v>78</v>
      </c>
      <c r="B108" t="s">
        <v>79</v>
      </c>
      <c r="C108" t="s">
        <v>72</v>
      </c>
      <c r="D108" t="s">
        <v>73</v>
      </c>
      <c r="E108" t="s">
        <v>50</v>
      </c>
      <c r="F108" s="12">
        <v>2800000000000000</v>
      </c>
      <c r="G108" s="12">
        <v>40000000000000</v>
      </c>
      <c r="H108" s="12">
        <v>206148553080853</v>
      </c>
      <c r="I108" s="12" t="s">
        <v>80</v>
      </c>
      <c r="J108" s="12" t="s">
        <v>81</v>
      </c>
      <c r="K108" s="12">
        <v>11834755119680.5</v>
      </c>
      <c r="L108" s="13">
        <v>0.0574088682302745</v>
      </c>
      <c r="M108" s="5" t="s">
        <v>44</v>
      </c>
      <c r="N108" s="5" t="s">
        <v>45</v>
      </c>
      <c r="O108" s="5" t="s">
        <v>82</v>
      </c>
      <c r="P108" s="5" t="s">
        <v>47</v>
      </c>
      <c r="Q108" s="5" t="s">
        <v>83</v>
      </c>
    </row>
    <row r="109" ht="17" spans="1:17">
      <c r="A109" t="s">
        <v>78</v>
      </c>
      <c r="B109" t="s">
        <v>79</v>
      </c>
      <c r="C109" t="s">
        <v>72</v>
      </c>
      <c r="D109" t="s">
        <v>73</v>
      </c>
      <c r="E109" t="s">
        <v>51</v>
      </c>
      <c r="F109" s="12">
        <v>2800000000000000</v>
      </c>
      <c r="G109" s="12">
        <v>40000000000000</v>
      </c>
      <c r="H109" s="12">
        <v>1299927820693120</v>
      </c>
      <c r="I109" s="12" t="s">
        <v>80</v>
      </c>
      <c r="J109" s="12" t="s">
        <v>81</v>
      </c>
      <c r="K109" s="12">
        <v>83774253241458.9</v>
      </c>
      <c r="L109" s="13">
        <v>0.0644453114302845</v>
      </c>
      <c r="M109" s="5" t="s">
        <v>44</v>
      </c>
      <c r="N109" s="5" t="s">
        <v>45</v>
      </c>
      <c r="O109" s="5" t="s">
        <v>82</v>
      </c>
      <c r="P109" s="5" t="s">
        <v>47</v>
      </c>
      <c r="Q109" s="5" t="s">
        <v>83</v>
      </c>
    </row>
    <row r="110" ht="17" spans="1:17">
      <c r="A110" t="s">
        <v>78</v>
      </c>
      <c r="B110" t="s">
        <v>79</v>
      </c>
      <c r="C110" t="s">
        <v>72</v>
      </c>
      <c r="D110" t="s">
        <v>73</v>
      </c>
      <c r="E110" t="s">
        <v>52</v>
      </c>
      <c r="F110" s="12">
        <v>2800000000000000</v>
      </c>
      <c r="G110" s="12">
        <v>40000000000000</v>
      </c>
      <c r="H110" s="12">
        <v>664136185483182</v>
      </c>
      <c r="I110" s="12" t="s">
        <v>80</v>
      </c>
      <c r="J110" s="12" t="s">
        <v>81</v>
      </c>
      <c r="K110" s="12">
        <v>35656383326748.4</v>
      </c>
      <c r="L110" s="13">
        <v>0.0536883610713172</v>
      </c>
      <c r="M110" s="5" t="s">
        <v>44</v>
      </c>
      <c r="N110" s="5" t="s">
        <v>45</v>
      </c>
      <c r="O110" s="5" t="s">
        <v>82</v>
      </c>
      <c r="P110" s="5" t="s">
        <v>47</v>
      </c>
      <c r="Q110" s="5" t="s">
        <v>83</v>
      </c>
    </row>
    <row r="111" ht="17" spans="1:17">
      <c r="A111" t="s">
        <v>78</v>
      </c>
      <c r="B111" t="s">
        <v>79</v>
      </c>
      <c r="C111" t="s">
        <v>72</v>
      </c>
      <c r="D111" t="s">
        <v>73</v>
      </c>
      <c r="E111" t="s">
        <v>53</v>
      </c>
      <c r="F111" s="12">
        <v>2800000000000000</v>
      </c>
      <c r="G111" s="12">
        <v>40000000000000</v>
      </c>
      <c r="H111" s="12">
        <v>5021559585131560</v>
      </c>
      <c r="I111" s="12" t="s">
        <v>80</v>
      </c>
      <c r="J111" s="12" t="s">
        <v>81</v>
      </c>
      <c r="K111" s="12">
        <v>244451335930546</v>
      </c>
      <c r="L111" s="13">
        <v>0.0486803615064823</v>
      </c>
      <c r="M111" s="5" t="s">
        <v>44</v>
      </c>
      <c r="N111" s="5" t="s">
        <v>45</v>
      </c>
      <c r="O111" s="5" t="s">
        <v>82</v>
      </c>
      <c r="P111" s="5" t="s">
        <v>47</v>
      </c>
      <c r="Q111" s="5" t="s">
        <v>83</v>
      </c>
    </row>
    <row r="112" ht="17" spans="1:17">
      <c r="A112" t="s">
        <v>78</v>
      </c>
      <c r="B112" t="s">
        <v>79</v>
      </c>
      <c r="C112" t="s">
        <v>72</v>
      </c>
      <c r="D112" t="s">
        <v>73</v>
      </c>
      <c r="E112" t="s">
        <v>54</v>
      </c>
      <c r="F112" s="12">
        <v>2800000000000000</v>
      </c>
      <c r="G112" s="12">
        <v>40000000000000</v>
      </c>
      <c r="H112" s="12">
        <v>6625074457201300</v>
      </c>
      <c r="I112" s="12" t="s">
        <v>80</v>
      </c>
      <c r="J112" s="12" t="s">
        <v>81</v>
      </c>
      <c r="K112" s="12">
        <v>301949841737871</v>
      </c>
      <c r="L112" s="13">
        <v>0.0455768223721107</v>
      </c>
      <c r="M112" s="5" t="s">
        <v>44</v>
      </c>
      <c r="N112" s="5" t="s">
        <v>45</v>
      </c>
      <c r="O112" s="5" t="s">
        <v>82</v>
      </c>
      <c r="P112" s="5" t="s">
        <v>47</v>
      </c>
      <c r="Q112" s="5" t="s">
        <v>83</v>
      </c>
    </row>
    <row r="113" ht="17" spans="1:17">
      <c r="A113" t="s">
        <v>78</v>
      </c>
      <c r="B113" t="s">
        <v>79</v>
      </c>
      <c r="C113" t="s">
        <v>72</v>
      </c>
      <c r="D113" t="s">
        <v>73</v>
      </c>
      <c r="E113" t="s">
        <v>55</v>
      </c>
      <c r="F113" s="12">
        <v>2800000000000000</v>
      </c>
      <c r="G113" s="12">
        <v>40000000000000</v>
      </c>
      <c r="H113" s="12">
        <v>137334283459274</v>
      </c>
      <c r="I113" s="12" t="s">
        <v>80</v>
      </c>
      <c r="J113" s="12" t="s">
        <v>81</v>
      </c>
      <c r="K113" s="12">
        <v>7289689917888.43</v>
      </c>
      <c r="L113" s="13">
        <v>0.0530798991648007</v>
      </c>
      <c r="M113" s="5" t="s">
        <v>44</v>
      </c>
      <c r="N113" s="5" t="s">
        <v>45</v>
      </c>
      <c r="O113" s="5" t="s">
        <v>82</v>
      </c>
      <c r="P113" s="5" t="s">
        <v>47</v>
      </c>
      <c r="Q113" s="5" t="s">
        <v>83</v>
      </c>
    </row>
    <row r="114" ht="17" spans="1:17">
      <c r="A114" t="s">
        <v>78</v>
      </c>
      <c r="B114" t="s">
        <v>79</v>
      </c>
      <c r="C114" t="s">
        <v>74</v>
      </c>
      <c r="D114" t="s">
        <v>75</v>
      </c>
      <c r="E114" t="s">
        <v>41</v>
      </c>
      <c r="F114" s="12">
        <v>2800000000000000</v>
      </c>
      <c r="G114" s="12">
        <v>40000000000000</v>
      </c>
      <c r="H114" s="12">
        <v>6086275266756530</v>
      </c>
      <c r="I114" s="12" t="s">
        <v>80</v>
      </c>
      <c r="J114" s="12" t="s">
        <v>81</v>
      </c>
      <c r="K114" s="12">
        <v>272131222529826</v>
      </c>
      <c r="L114" s="13">
        <v>0.0447122764913735</v>
      </c>
      <c r="M114" s="5" t="s">
        <v>44</v>
      </c>
      <c r="N114" s="5" t="s">
        <v>45</v>
      </c>
      <c r="O114" s="5" t="s">
        <v>82</v>
      </c>
      <c r="P114" s="5" t="s">
        <v>47</v>
      </c>
      <c r="Q114" s="5" t="s">
        <v>83</v>
      </c>
    </row>
    <row r="115" ht="17" spans="1:17">
      <c r="A115" t="s">
        <v>78</v>
      </c>
      <c r="B115" t="s">
        <v>79</v>
      </c>
      <c r="C115" t="s">
        <v>74</v>
      </c>
      <c r="D115" t="s">
        <v>75</v>
      </c>
      <c r="E115" t="s">
        <v>49</v>
      </c>
      <c r="F115" s="12">
        <v>2800000000000000</v>
      </c>
      <c r="G115" s="12">
        <v>40000000000000</v>
      </c>
      <c r="H115" s="12">
        <v>110588325323468</v>
      </c>
      <c r="I115" s="12" t="s">
        <v>80</v>
      </c>
      <c r="J115" s="12" t="s">
        <v>81</v>
      </c>
      <c r="K115" s="12">
        <v>7019368164803.17</v>
      </c>
      <c r="L115" s="13">
        <v>0.0634729583278497</v>
      </c>
      <c r="M115" s="5" t="s">
        <v>44</v>
      </c>
      <c r="N115" s="5" t="s">
        <v>45</v>
      </c>
      <c r="O115" s="5" t="s">
        <v>82</v>
      </c>
      <c r="P115" s="5" t="s">
        <v>47</v>
      </c>
      <c r="Q115" s="5" t="s">
        <v>83</v>
      </c>
    </row>
    <row r="116" ht="17" spans="1:17">
      <c r="A116" t="s">
        <v>78</v>
      </c>
      <c r="B116" t="s">
        <v>79</v>
      </c>
      <c r="C116" t="s">
        <v>74</v>
      </c>
      <c r="D116" t="s">
        <v>75</v>
      </c>
      <c r="E116" t="s">
        <v>50</v>
      </c>
      <c r="F116" s="12">
        <v>2800000000000000</v>
      </c>
      <c r="G116" s="12">
        <v>40000000000000</v>
      </c>
      <c r="H116" s="12">
        <v>166677309201170</v>
      </c>
      <c r="I116" s="12" t="s">
        <v>80</v>
      </c>
      <c r="J116" s="12" t="s">
        <v>81</v>
      </c>
      <c r="K116" s="12">
        <v>11834755119680.5</v>
      </c>
      <c r="L116" s="13">
        <v>0.0710039967431715</v>
      </c>
      <c r="M116" s="5" t="s">
        <v>44</v>
      </c>
      <c r="N116" s="5" t="s">
        <v>45</v>
      </c>
      <c r="O116" s="5" t="s">
        <v>82</v>
      </c>
      <c r="P116" s="5" t="s">
        <v>47</v>
      </c>
      <c r="Q116" s="5" t="s">
        <v>83</v>
      </c>
    </row>
    <row r="117" ht="17" spans="1:17">
      <c r="A117" t="s">
        <v>78</v>
      </c>
      <c r="B117" t="s">
        <v>79</v>
      </c>
      <c r="C117" t="s">
        <v>74</v>
      </c>
      <c r="D117" t="s">
        <v>75</v>
      </c>
      <c r="E117" t="s">
        <v>51</v>
      </c>
      <c r="F117" s="12">
        <v>2800000000000000</v>
      </c>
      <c r="G117" s="12">
        <v>40000000000000</v>
      </c>
      <c r="H117" s="12">
        <v>592777860762599</v>
      </c>
      <c r="I117" s="12" t="s">
        <v>80</v>
      </c>
      <c r="J117" s="12" t="s">
        <v>81</v>
      </c>
      <c r="K117" s="12">
        <v>83774253241458.9</v>
      </c>
      <c r="L117" s="13">
        <v>0.141324868532851</v>
      </c>
      <c r="M117" s="5" t="s">
        <v>44</v>
      </c>
      <c r="N117" s="5" t="s">
        <v>45</v>
      </c>
      <c r="O117" s="5" t="s">
        <v>82</v>
      </c>
      <c r="P117" s="5" t="s">
        <v>47</v>
      </c>
      <c r="Q117" s="5" t="s">
        <v>83</v>
      </c>
    </row>
    <row r="118" ht="17" spans="1:17">
      <c r="A118" t="s">
        <v>78</v>
      </c>
      <c r="B118" t="s">
        <v>79</v>
      </c>
      <c r="C118" t="s">
        <v>74</v>
      </c>
      <c r="D118" t="s">
        <v>75</v>
      </c>
      <c r="E118" t="s">
        <v>52</v>
      </c>
      <c r="F118" s="12">
        <v>2800000000000000</v>
      </c>
      <c r="G118" s="12">
        <v>40000000000000</v>
      </c>
      <c r="H118" s="12">
        <v>589864698748737</v>
      </c>
      <c r="I118" s="12" t="s">
        <v>80</v>
      </c>
      <c r="J118" s="12" t="s">
        <v>81</v>
      </c>
      <c r="K118" s="12">
        <v>35656383326748.4</v>
      </c>
      <c r="L118" s="13">
        <v>0.06044841029203</v>
      </c>
      <c r="M118" s="5" t="s">
        <v>44</v>
      </c>
      <c r="N118" s="5" t="s">
        <v>45</v>
      </c>
      <c r="O118" s="5" t="s">
        <v>82</v>
      </c>
      <c r="P118" s="5" t="s">
        <v>47</v>
      </c>
      <c r="Q118" s="5" t="s">
        <v>83</v>
      </c>
    </row>
    <row r="119" ht="17" spans="1:17">
      <c r="A119" t="s">
        <v>78</v>
      </c>
      <c r="B119" t="s">
        <v>79</v>
      </c>
      <c r="C119" t="s">
        <v>74</v>
      </c>
      <c r="D119" t="s">
        <v>75</v>
      </c>
      <c r="E119" t="s">
        <v>53</v>
      </c>
      <c r="F119" s="12">
        <v>2800000000000000</v>
      </c>
      <c r="G119" s="12">
        <v>40000000000000</v>
      </c>
      <c r="H119" s="12">
        <v>4623599475667100</v>
      </c>
      <c r="I119" s="12" t="s">
        <v>80</v>
      </c>
      <c r="J119" s="12" t="s">
        <v>81</v>
      </c>
      <c r="K119" s="12">
        <v>244451335930546</v>
      </c>
      <c r="L119" s="13">
        <v>0.05287035289649</v>
      </c>
      <c r="M119" s="5" t="s">
        <v>44</v>
      </c>
      <c r="N119" s="5" t="s">
        <v>45</v>
      </c>
      <c r="O119" s="5" t="s">
        <v>82</v>
      </c>
      <c r="P119" s="5" t="s">
        <v>47</v>
      </c>
      <c r="Q119" s="5" t="s">
        <v>83</v>
      </c>
    </row>
    <row r="120" ht="17" spans="1:17">
      <c r="A120" t="s">
        <v>78</v>
      </c>
      <c r="B120" t="s">
        <v>79</v>
      </c>
      <c r="C120" t="s">
        <v>74</v>
      </c>
      <c r="D120" t="s">
        <v>75</v>
      </c>
      <c r="E120" t="s">
        <v>54</v>
      </c>
      <c r="F120" s="12">
        <v>2800000000000000</v>
      </c>
      <c r="G120" s="12">
        <v>40000000000000</v>
      </c>
      <c r="H120" s="12">
        <v>6431902553689900</v>
      </c>
      <c r="I120" s="12" t="s">
        <v>80</v>
      </c>
      <c r="J120" s="12" t="s">
        <v>81</v>
      </c>
      <c r="K120" s="12">
        <v>301949841737871</v>
      </c>
      <c r="L120" s="13">
        <v>0.0469456493187456</v>
      </c>
      <c r="M120" s="5" t="s">
        <v>44</v>
      </c>
      <c r="N120" s="5" t="s">
        <v>45</v>
      </c>
      <c r="O120" s="5" t="s">
        <v>82</v>
      </c>
      <c r="P120" s="5" t="s">
        <v>47</v>
      </c>
      <c r="Q120" s="5" t="s">
        <v>83</v>
      </c>
    </row>
    <row r="121" ht="17" spans="1:17">
      <c r="A121" t="s">
        <v>78</v>
      </c>
      <c r="B121" t="s">
        <v>79</v>
      </c>
      <c r="C121" t="s">
        <v>74</v>
      </c>
      <c r="D121" t="s">
        <v>75</v>
      </c>
      <c r="E121" t="s">
        <v>55</v>
      </c>
      <c r="F121" s="12">
        <v>2800000000000000</v>
      </c>
      <c r="G121" s="12">
        <v>40000000000000</v>
      </c>
      <c r="H121" s="12">
        <v>113746816824459</v>
      </c>
      <c r="I121" s="12" t="s">
        <v>80</v>
      </c>
      <c r="J121" s="12" t="s">
        <v>81</v>
      </c>
      <c r="K121" s="12">
        <v>7289689917888.43</v>
      </c>
      <c r="L121" s="13">
        <v>0.0640869794988488</v>
      </c>
      <c r="M121" s="5" t="s">
        <v>44</v>
      </c>
      <c r="N121" s="5" t="s">
        <v>45</v>
      </c>
      <c r="O121" s="5" t="s">
        <v>82</v>
      </c>
      <c r="P121" s="5" t="s">
        <v>47</v>
      </c>
      <c r="Q121" s="5" t="s">
        <v>83</v>
      </c>
    </row>
    <row r="122" ht="17" spans="1:17">
      <c r="A122" t="s">
        <v>78</v>
      </c>
      <c r="B122" t="s">
        <v>79</v>
      </c>
      <c r="C122" t="s">
        <v>76</v>
      </c>
      <c r="D122" t="s">
        <v>77</v>
      </c>
      <c r="E122" t="s">
        <v>41</v>
      </c>
      <c r="F122" s="12">
        <v>2800000000000000</v>
      </c>
      <c r="G122" s="12">
        <v>40000000000000</v>
      </c>
      <c r="H122" s="12">
        <v>7360315132700310</v>
      </c>
      <c r="I122" s="12" t="s">
        <v>80</v>
      </c>
      <c r="J122" s="12" t="s">
        <v>81</v>
      </c>
      <c r="K122" s="12">
        <v>272131222529826</v>
      </c>
      <c r="L122" s="13">
        <v>0.0369727678263129</v>
      </c>
      <c r="M122" s="5" t="s">
        <v>44</v>
      </c>
      <c r="N122" s="5" t="s">
        <v>45</v>
      </c>
      <c r="O122" s="5" t="s">
        <v>82</v>
      </c>
      <c r="P122" s="5" t="s">
        <v>47</v>
      </c>
      <c r="Q122" s="5" t="s">
        <v>83</v>
      </c>
    </row>
    <row r="123" ht="17" spans="1:17">
      <c r="A123" t="s">
        <v>78</v>
      </c>
      <c r="B123" t="s">
        <v>79</v>
      </c>
      <c r="C123" t="s">
        <v>76</v>
      </c>
      <c r="D123" t="s">
        <v>77</v>
      </c>
      <c r="E123" t="s">
        <v>49</v>
      </c>
      <c r="F123" s="12">
        <v>2800000000000000</v>
      </c>
      <c r="G123" s="12">
        <v>40000000000000</v>
      </c>
      <c r="H123" s="12">
        <v>77162164001746.2</v>
      </c>
      <c r="I123" s="12" t="s">
        <v>80</v>
      </c>
      <c r="J123" s="12" t="s">
        <v>81</v>
      </c>
      <c r="K123" s="12">
        <v>7019368164803.17</v>
      </c>
      <c r="L123" s="13">
        <v>0.0909690423488422</v>
      </c>
      <c r="M123" s="5" t="s">
        <v>44</v>
      </c>
      <c r="N123" s="5" t="s">
        <v>45</v>
      </c>
      <c r="O123" s="5" t="s">
        <v>82</v>
      </c>
      <c r="P123" s="5" t="s">
        <v>47</v>
      </c>
      <c r="Q123" s="5" t="s">
        <v>83</v>
      </c>
    </row>
    <row r="124" ht="17" spans="1:17">
      <c r="A124" t="s">
        <v>78</v>
      </c>
      <c r="B124" t="s">
        <v>79</v>
      </c>
      <c r="C124" t="s">
        <v>76</v>
      </c>
      <c r="D124" t="s">
        <v>77</v>
      </c>
      <c r="E124" t="s">
        <v>50</v>
      </c>
      <c r="F124" s="12">
        <v>2800000000000000</v>
      </c>
      <c r="G124" s="12">
        <v>40000000000000</v>
      </c>
      <c r="H124" s="12">
        <v>180285415895869</v>
      </c>
      <c r="I124" s="12" t="s">
        <v>80</v>
      </c>
      <c r="J124" s="12" t="s">
        <v>81</v>
      </c>
      <c r="K124" s="12">
        <v>11834755119680.5</v>
      </c>
      <c r="L124" s="13">
        <v>0.0656445506746706</v>
      </c>
      <c r="M124" s="5" t="s">
        <v>44</v>
      </c>
      <c r="N124" s="5" t="s">
        <v>45</v>
      </c>
      <c r="O124" s="5" t="s">
        <v>82</v>
      </c>
      <c r="P124" s="5" t="s">
        <v>47</v>
      </c>
      <c r="Q124" s="5" t="s">
        <v>83</v>
      </c>
    </row>
    <row r="125" ht="17" spans="1:17">
      <c r="A125" t="s">
        <v>78</v>
      </c>
      <c r="B125" t="s">
        <v>79</v>
      </c>
      <c r="C125" t="s">
        <v>76</v>
      </c>
      <c r="D125" t="s">
        <v>77</v>
      </c>
      <c r="E125" t="s">
        <v>51</v>
      </c>
      <c r="F125" s="12">
        <v>2800000000000000</v>
      </c>
      <c r="G125" s="12">
        <v>40000000000000</v>
      </c>
      <c r="H125" s="12">
        <v>4008158702797670</v>
      </c>
      <c r="I125" s="12" t="s">
        <v>80</v>
      </c>
      <c r="J125" s="12" t="s">
        <v>81</v>
      </c>
      <c r="K125" s="12">
        <v>83774253241458.9</v>
      </c>
      <c r="L125" s="13">
        <v>0.0209009321868879</v>
      </c>
      <c r="M125" s="5" t="s">
        <v>44</v>
      </c>
      <c r="N125" s="5" t="s">
        <v>45</v>
      </c>
      <c r="O125" s="5" t="s">
        <v>82</v>
      </c>
      <c r="P125" s="5" t="s">
        <v>47</v>
      </c>
      <c r="Q125" s="5" t="s">
        <v>83</v>
      </c>
    </row>
    <row r="126" ht="17" spans="1:17">
      <c r="A126" t="s">
        <v>78</v>
      </c>
      <c r="B126" t="s">
        <v>79</v>
      </c>
      <c r="C126" t="s">
        <v>76</v>
      </c>
      <c r="D126" t="s">
        <v>77</v>
      </c>
      <c r="E126" t="s">
        <v>52</v>
      </c>
      <c r="F126" s="12">
        <v>2800000000000000</v>
      </c>
      <c r="G126" s="12">
        <v>40000000000000</v>
      </c>
      <c r="H126" s="12">
        <v>504988925234904</v>
      </c>
      <c r="I126" s="12" t="s">
        <v>80</v>
      </c>
      <c r="J126" s="12" t="s">
        <v>81</v>
      </c>
      <c r="K126" s="12">
        <v>35656383326748.4</v>
      </c>
      <c r="L126" s="13">
        <v>0.070608248111901</v>
      </c>
      <c r="M126" s="5" t="s">
        <v>44</v>
      </c>
      <c r="N126" s="5" t="s">
        <v>45</v>
      </c>
      <c r="O126" s="5" t="s">
        <v>82</v>
      </c>
      <c r="P126" s="5" t="s">
        <v>47</v>
      </c>
      <c r="Q126" s="5" t="s">
        <v>83</v>
      </c>
    </row>
    <row r="127" ht="17" spans="1:17">
      <c r="A127" t="s">
        <v>78</v>
      </c>
      <c r="B127" t="s">
        <v>79</v>
      </c>
      <c r="C127" t="s">
        <v>76</v>
      </c>
      <c r="D127" t="s">
        <v>77</v>
      </c>
      <c r="E127" t="s">
        <v>53</v>
      </c>
      <c r="F127" s="12">
        <v>2800000000000000</v>
      </c>
      <c r="G127" s="12">
        <v>40000000000000</v>
      </c>
      <c r="H127" s="12">
        <v>3029665118153670</v>
      </c>
      <c r="I127" s="12" t="s">
        <v>80</v>
      </c>
      <c r="J127" s="12" t="s">
        <v>81</v>
      </c>
      <c r="K127" s="12">
        <v>244451335930546</v>
      </c>
      <c r="L127" s="13">
        <v>0.0806859261328256</v>
      </c>
      <c r="M127" s="5" t="s">
        <v>44</v>
      </c>
      <c r="N127" s="5" t="s">
        <v>45</v>
      </c>
      <c r="O127" s="5" t="s">
        <v>82</v>
      </c>
      <c r="P127" s="5" t="s">
        <v>47</v>
      </c>
      <c r="Q127" s="5" t="s">
        <v>83</v>
      </c>
    </row>
    <row r="128" ht="17" spans="1:17">
      <c r="A128" t="s">
        <v>78</v>
      </c>
      <c r="B128" t="s">
        <v>79</v>
      </c>
      <c r="C128" t="s">
        <v>76</v>
      </c>
      <c r="D128" t="s">
        <v>77</v>
      </c>
      <c r="E128" t="s">
        <v>54</v>
      </c>
      <c r="F128" s="12">
        <v>2800000000000000</v>
      </c>
      <c r="G128" s="12">
        <v>40000000000000</v>
      </c>
      <c r="H128" s="12">
        <v>4581325071207710</v>
      </c>
      <c r="I128" s="12" t="s">
        <v>80</v>
      </c>
      <c r="J128" s="12" t="s">
        <v>81</v>
      </c>
      <c r="K128" s="12">
        <v>301949841737871</v>
      </c>
      <c r="L128" s="13">
        <v>0.0659088445034249</v>
      </c>
      <c r="M128" s="5" t="s">
        <v>44</v>
      </c>
      <c r="N128" s="5" t="s">
        <v>45</v>
      </c>
      <c r="O128" s="5" t="s">
        <v>82</v>
      </c>
      <c r="P128" s="5" t="s">
        <v>47</v>
      </c>
      <c r="Q128" s="5" t="s">
        <v>83</v>
      </c>
    </row>
    <row r="129" ht="17" spans="1:17">
      <c r="A129" t="s">
        <v>78</v>
      </c>
      <c r="B129" t="s">
        <v>79</v>
      </c>
      <c r="C129" t="s">
        <v>76</v>
      </c>
      <c r="D129" t="s">
        <v>77</v>
      </c>
      <c r="E129" t="s">
        <v>55</v>
      </c>
      <c r="F129" s="12">
        <v>2800000000000000</v>
      </c>
      <c r="G129" s="12">
        <v>40000000000000</v>
      </c>
      <c r="H129" s="12">
        <v>100331714981911</v>
      </c>
      <c r="I129" s="12" t="s">
        <v>80</v>
      </c>
      <c r="J129" s="12" t="s">
        <v>81</v>
      </c>
      <c r="K129" s="12">
        <v>7289689917888.43</v>
      </c>
      <c r="L129" s="13">
        <v>0.0726558887107898</v>
      </c>
      <c r="M129" s="5" t="s">
        <v>44</v>
      </c>
      <c r="N129" s="5" t="s">
        <v>45</v>
      </c>
      <c r="O129" s="5" t="s">
        <v>82</v>
      </c>
      <c r="P129" s="5" t="s">
        <v>47</v>
      </c>
      <c r="Q129" s="5" t="s">
        <v>83</v>
      </c>
    </row>
    <row r="130" ht="17" spans="1:17">
      <c r="A130" t="s">
        <v>86</v>
      </c>
      <c r="B130" t="s">
        <v>87</v>
      </c>
      <c r="C130" t="s">
        <v>39</v>
      </c>
      <c r="D130" t="s">
        <v>40</v>
      </c>
      <c r="E130" t="s">
        <v>41</v>
      </c>
      <c r="F130" s="12">
        <v>2800000000000000</v>
      </c>
      <c r="G130" s="12">
        <v>40000000000000</v>
      </c>
      <c r="H130" s="12">
        <v>2131130825905.33</v>
      </c>
      <c r="I130" s="12" t="s">
        <v>88</v>
      </c>
      <c r="J130" s="12" t="s">
        <v>88</v>
      </c>
      <c r="K130" s="12"/>
      <c r="L130" s="13"/>
      <c r="M130" s="5" t="s">
        <v>68</v>
      </c>
      <c r="N130" s="5" t="s">
        <v>45</v>
      </c>
      <c r="O130" s="5" t="s">
        <v>89</v>
      </c>
      <c r="P130" s="5" t="s">
        <v>47</v>
      </c>
      <c r="Q130" s="5" t="s">
        <v>90</v>
      </c>
    </row>
    <row r="131" ht="17" spans="1:17">
      <c r="A131" t="s">
        <v>86</v>
      </c>
      <c r="B131" t="s">
        <v>87</v>
      </c>
      <c r="C131" t="s">
        <v>39</v>
      </c>
      <c r="D131" t="s">
        <v>40</v>
      </c>
      <c r="E131" t="s">
        <v>49</v>
      </c>
      <c r="F131" s="12">
        <v>2800000000000000</v>
      </c>
      <c r="G131" s="12">
        <v>40000000000000</v>
      </c>
      <c r="H131" s="12">
        <v>33511421777991.7</v>
      </c>
      <c r="I131" s="12" t="s">
        <v>88</v>
      </c>
      <c r="J131" s="12" t="s">
        <v>88</v>
      </c>
      <c r="K131" s="12"/>
      <c r="L131" s="13"/>
      <c r="M131" s="5" t="s">
        <v>68</v>
      </c>
      <c r="N131" s="5" t="s">
        <v>45</v>
      </c>
      <c r="O131" s="5" t="s">
        <v>89</v>
      </c>
      <c r="P131" s="5" t="s">
        <v>47</v>
      </c>
      <c r="Q131" s="5" t="s">
        <v>90</v>
      </c>
    </row>
    <row r="132" ht="17" spans="1:17">
      <c r="A132" t="s">
        <v>86</v>
      </c>
      <c r="B132" t="s">
        <v>87</v>
      </c>
      <c r="C132" t="s">
        <v>39</v>
      </c>
      <c r="D132" t="s">
        <v>40</v>
      </c>
      <c r="E132" t="s">
        <v>50</v>
      </c>
      <c r="F132" s="12">
        <v>2800000000000000</v>
      </c>
      <c r="G132" s="12">
        <v>40000000000000</v>
      </c>
      <c r="H132" s="12">
        <v>86505088608352.7</v>
      </c>
      <c r="I132" s="12" t="s">
        <v>88</v>
      </c>
      <c r="J132" s="12" t="s">
        <v>88</v>
      </c>
      <c r="K132" s="12"/>
      <c r="L132" s="13"/>
      <c r="M132" s="5" t="s">
        <v>68</v>
      </c>
      <c r="N132" s="5" t="s">
        <v>45</v>
      </c>
      <c r="O132" s="5" t="s">
        <v>89</v>
      </c>
      <c r="P132" s="5" t="s">
        <v>47</v>
      </c>
      <c r="Q132" s="5" t="s">
        <v>90</v>
      </c>
    </row>
    <row r="133" ht="17" spans="1:17">
      <c r="A133" t="s">
        <v>86</v>
      </c>
      <c r="B133" t="s">
        <v>87</v>
      </c>
      <c r="C133" t="s">
        <v>39</v>
      </c>
      <c r="D133" t="s">
        <v>40</v>
      </c>
      <c r="E133" t="s">
        <v>51</v>
      </c>
      <c r="F133" s="12">
        <v>2800000000000000</v>
      </c>
      <c r="G133" s="12">
        <v>40000000000000</v>
      </c>
      <c r="H133" s="12">
        <v>444665635408787</v>
      </c>
      <c r="I133" s="12" t="s">
        <v>88</v>
      </c>
      <c r="J133" s="12" t="s">
        <v>88</v>
      </c>
      <c r="K133" s="12"/>
      <c r="L133" s="13"/>
      <c r="M133" s="5" t="s">
        <v>68</v>
      </c>
      <c r="N133" s="5" t="s">
        <v>45</v>
      </c>
      <c r="O133" s="5" t="s">
        <v>89</v>
      </c>
      <c r="P133" s="5" t="s">
        <v>47</v>
      </c>
      <c r="Q133" s="5" t="s">
        <v>90</v>
      </c>
    </row>
    <row r="134" ht="17" spans="1:17">
      <c r="A134" t="s">
        <v>86</v>
      </c>
      <c r="B134" t="s">
        <v>87</v>
      </c>
      <c r="C134" t="s">
        <v>39</v>
      </c>
      <c r="D134" t="s">
        <v>40</v>
      </c>
      <c r="E134" t="s">
        <v>52</v>
      </c>
      <c r="F134" s="12">
        <v>2800000000000000</v>
      </c>
      <c r="G134" s="12">
        <v>40000000000000</v>
      </c>
      <c r="H134" s="12">
        <v>400707598608096</v>
      </c>
      <c r="I134" s="12" t="s">
        <v>88</v>
      </c>
      <c r="J134" s="12" t="s">
        <v>88</v>
      </c>
      <c r="K134" s="12"/>
      <c r="L134" s="13"/>
      <c r="M134" s="5" t="s">
        <v>68</v>
      </c>
      <c r="N134" s="5" t="s">
        <v>45</v>
      </c>
      <c r="O134" s="5" t="s">
        <v>89</v>
      </c>
      <c r="P134" s="5" t="s">
        <v>47</v>
      </c>
      <c r="Q134" s="5" t="s">
        <v>90</v>
      </c>
    </row>
    <row r="135" ht="17" spans="1:17">
      <c r="A135" t="s">
        <v>86</v>
      </c>
      <c r="B135" t="s">
        <v>87</v>
      </c>
      <c r="C135" t="s">
        <v>39</v>
      </c>
      <c r="D135" t="s">
        <v>40</v>
      </c>
      <c r="E135" t="s">
        <v>53</v>
      </c>
      <c r="F135" s="12">
        <v>2800000000000000</v>
      </c>
      <c r="G135" s="12">
        <v>40000000000000</v>
      </c>
      <c r="H135" s="12">
        <v>1.49364288840431e+17</v>
      </c>
      <c r="I135" s="12" t="s">
        <v>88</v>
      </c>
      <c r="J135" s="12" t="s">
        <v>88</v>
      </c>
      <c r="K135" s="12"/>
      <c r="L135" s="13"/>
      <c r="M135" s="5" t="s">
        <v>68</v>
      </c>
      <c r="N135" s="5" t="s">
        <v>45</v>
      </c>
      <c r="O135" s="5" t="s">
        <v>89</v>
      </c>
      <c r="P135" s="5" t="s">
        <v>47</v>
      </c>
      <c r="Q135" s="5" t="s">
        <v>90</v>
      </c>
    </row>
    <row r="136" ht="17" spans="1:17">
      <c r="A136" t="s">
        <v>86</v>
      </c>
      <c r="B136" t="s">
        <v>87</v>
      </c>
      <c r="C136" t="s">
        <v>39</v>
      </c>
      <c r="D136" t="s">
        <v>40</v>
      </c>
      <c r="E136" t="s">
        <v>54</v>
      </c>
      <c r="F136" s="12">
        <v>2800000000000000</v>
      </c>
      <c r="G136" s="12">
        <v>40000000000000</v>
      </c>
      <c r="H136" s="12">
        <v>1817587222263550</v>
      </c>
      <c r="I136" s="12" t="s">
        <v>88</v>
      </c>
      <c r="J136" s="12" t="s">
        <v>88</v>
      </c>
      <c r="K136" s="12"/>
      <c r="L136" s="13"/>
      <c r="M136" s="5" t="s">
        <v>68</v>
      </c>
      <c r="N136" s="5" t="s">
        <v>45</v>
      </c>
      <c r="O136" s="5" t="s">
        <v>89</v>
      </c>
      <c r="P136" s="5" t="s">
        <v>47</v>
      </c>
      <c r="Q136" s="5" t="s">
        <v>90</v>
      </c>
    </row>
    <row r="137" ht="17" spans="1:17">
      <c r="A137" t="s">
        <v>86</v>
      </c>
      <c r="B137" t="s">
        <v>87</v>
      </c>
      <c r="C137" t="s">
        <v>39</v>
      </c>
      <c r="D137" t="s">
        <v>40</v>
      </c>
      <c r="E137" t="s">
        <v>55</v>
      </c>
      <c r="F137" s="12">
        <v>2800000000000000</v>
      </c>
      <c r="G137" s="12">
        <v>40000000000000</v>
      </c>
      <c r="H137" s="12">
        <v>81337724416776.8</v>
      </c>
      <c r="I137" s="12" t="s">
        <v>88</v>
      </c>
      <c r="J137" s="12" t="s">
        <v>88</v>
      </c>
      <c r="K137" s="12"/>
      <c r="L137" s="13"/>
      <c r="M137" s="5" t="s">
        <v>68</v>
      </c>
      <c r="N137" s="5" t="s">
        <v>45</v>
      </c>
      <c r="O137" s="5" t="s">
        <v>89</v>
      </c>
      <c r="P137" s="5" t="s">
        <v>47</v>
      </c>
      <c r="Q137" s="5" t="s">
        <v>90</v>
      </c>
    </row>
    <row r="138" ht="17" spans="1:17">
      <c r="A138" t="s">
        <v>86</v>
      </c>
      <c r="B138" t="s">
        <v>87</v>
      </c>
      <c r="C138" t="s">
        <v>56</v>
      </c>
      <c r="D138" t="s">
        <v>57</v>
      </c>
      <c r="E138" t="s">
        <v>41</v>
      </c>
      <c r="F138" s="12">
        <v>2800000000000000</v>
      </c>
      <c r="G138" s="12">
        <v>40000000000000</v>
      </c>
      <c r="H138" s="12">
        <v>2353919078947.67</v>
      </c>
      <c r="I138" s="12" t="s">
        <v>88</v>
      </c>
      <c r="J138" s="12" t="s">
        <v>88</v>
      </c>
      <c r="K138" s="12"/>
      <c r="L138" s="13"/>
      <c r="M138" s="5" t="s">
        <v>68</v>
      </c>
      <c r="N138" s="5" t="s">
        <v>45</v>
      </c>
      <c r="O138" s="5" t="s">
        <v>89</v>
      </c>
      <c r="P138" s="5" t="s">
        <v>47</v>
      </c>
      <c r="Q138" s="5" t="s">
        <v>90</v>
      </c>
    </row>
    <row r="139" ht="17" spans="1:17">
      <c r="A139" t="s">
        <v>86</v>
      </c>
      <c r="B139" t="s">
        <v>87</v>
      </c>
      <c r="C139" t="s">
        <v>56</v>
      </c>
      <c r="D139" t="s">
        <v>57</v>
      </c>
      <c r="E139" t="s">
        <v>49</v>
      </c>
      <c r="F139" s="12">
        <v>2800000000000000</v>
      </c>
      <c r="G139" s="12">
        <v>40000000000000</v>
      </c>
      <c r="H139" s="12">
        <v>30135618782775.1</v>
      </c>
      <c r="I139" s="12" t="s">
        <v>88</v>
      </c>
      <c r="J139" s="12" t="s">
        <v>88</v>
      </c>
      <c r="K139" s="12"/>
      <c r="L139" s="13"/>
      <c r="M139" s="5" t="s">
        <v>68</v>
      </c>
      <c r="N139" s="5" t="s">
        <v>45</v>
      </c>
      <c r="O139" s="5" t="s">
        <v>89</v>
      </c>
      <c r="P139" s="5" t="s">
        <v>47</v>
      </c>
      <c r="Q139" s="5" t="s">
        <v>90</v>
      </c>
    </row>
    <row r="140" ht="17" spans="1:17">
      <c r="A140" t="s">
        <v>86</v>
      </c>
      <c r="B140" t="s">
        <v>87</v>
      </c>
      <c r="C140" t="s">
        <v>56</v>
      </c>
      <c r="D140" t="s">
        <v>57</v>
      </c>
      <c r="E140" t="s">
        <v>50</v>
      </c>
      <c r="F140" s="12">
        <v>2800000000000000</v>
      </c>
      <c r="G140" s="12">
        <v>40000000000000</v>
      </c>
      <c r="H140" s="12">
        <v>89707431692418.5</v>
      </c>
      <c r="I140" s="12" t="s">
        <v>88</v>
      </c>
      <c r="J140" s="12" t="s">
        <v>88</v>
      </c>
      <c r="K140" s="12"/>
      <c r="L140" s="13"/>
      <c r="M140" s="5" t="s">
        <v>68</v>
      </c>
      <c r="N140" s="5" t="s">
        <v>45</v>
      </c>
      <c r="O140" s="5" t="s">
        <v>89</v>
      </c>
      <c r="P140" s="5" t="s">
        <v>47</v>
      </c>
      <c r="Q140" s="5" t="s">
        <v>90</v>
      </c>
    </row>
    <row r="141" ht="17" spans="1:17">
      <c r="A141" t="s">
        <v>86</v>
      </c>
      <c r="B141" t="s">
        <v>87</v>
      </c>
      <c r="C141" t="s">
        <v>56</v>
      </c>
      <c r="D141" t="s">
        <v>57</v>
      </c>
      <c r="E141" t="s">
        <v>51</v>
      </c>
      <c r="F141" s="12">
        <v>2800000000000000</v>
      </c>
      <c r="G141" s="12">
        <v>40000000000000</v>
      </c>
      <c r="H141" s="12">
        <v>702073592126990</v>
      </c>
      <c r="I141" s="12" t="s">
        <v>88</v>
      </c>
      <c r="J141" s="12" t="s">
        <v>88</v>
      </c>
      <c r="K141" s="12"/>
      <c r="L141" s="13"/>
      <c r="M141" s="5" t="s">
        <v>68</v>
      </c>
      <c r="N141" s="5" t="s">
        <v>45</v>
      </c>
      <c r="O141" s="5" t="s">
        <v>89</v>
      </c>
      <c r="P141" s="5" t="s">
        <v>47</v>
      </c>
      <c r="Q141" s="5" t="s">
        <v>90</v>
      </c>
    </row>
    <row r="142" ht="17" spans="1:17">
      <c r="A142" t="s">
        <v>86</v>
      </c>
      <c r="B142" t="s">
        <v>87</v>
      </c>
      <c r="C142" t="s">
        <v>56</v>
      </c>
      <c r="D142" t="s">
        <v>57</v>
      </c>
      <c r="E142" t="s">
        <v>52</v>
      </c>
      <c r="F142" s="12">
        <v>2800000000000000</v>
      </c>
      <c r="G142" s="12">
        <v>40000000000000</v>
      </c>
      <c r="H142" s="12">
        <v>763638620832685</v>
      </c>
      <c r="I142" s="12" t="s">
        <v>88</v>
      </c>
      <c r="J142" s="12" t="s">
        <v>88</v>
      </c>
      <c r="K142" s="12"/>
      <c r="L142" s="13"/>
      <c r="M142" s="5" t="s">
        <v>68</v>
      </c>
      <c r="N142" s="5" t="s">
        <v>45</v>
      </c>
      <c r="O142" s="5" t="s">
        <v>89</v>
      </c>
      <c r="P142" s="5" t="s">
        <v>47</v>
      </c>
      <c r="Q142" s="5" t="s">
        <v>90</v>
      </c>
    </row>
    <row r="143" ht="17" spans="1:17">
      <c r="A143" t="s">
        <v>86</v>
      </c>
      <c r="B143" t="s">
        <v>87</v>
      </c>
      <c r="C143" t="s">
        <v>56</v>
      </c>
      <c r="D143" t="s">
        <v>57</v>
      </c>
      <c r="E143" t="s">
        <v>53</v>
      </c>
      <c r="F143" s="12">
        <v>2800000000000000</v>
      </c>
      <c r="G143" s="12">
        <v>40000000000000</v>
      </c>
      <c r="H143" s="12">
        <v>1.49355220201805e+17</v>
      </c>
      <c r="I143" s="12" t="s">
        <v>88</v>
      </c>
      <c r="J143" s="12" t="s">
        <v>88</v>
      </c>
      <c r="K143" s="12"/>
      <c r="L143" s="13"/>
      <c r="M143" s="5" t="s">
        <v>68</v>
      </c>
      <c r="N143" s="5" t="s">
        <v>45</v>
      </c>
      <c r="O143" s="5" t="s">
        <v>89</v>
      </c>
      <c r="P143" s="5" t="s">
        <v>47</v>
      </c>
      <c r="Q143" s="5" t="s">
        <v>90</v>
      </c>
    </row>
    <row r="144" ht="17" spans="1:17">
      <c r="A144" t="s">
        <v>86</v>
      </c>
      <c r="B144" t="s">
        <v>87</v>
      </c>
      <c r="C144" t="s">
        <v>56</v>
      </c>
      <c r="D144" t="s">
        <v>57</v>
      </c>
      <c r="E144" t="s">
        <v>54</v>
      </c>
      <c r="F144" s="12">
        <v>2800000000000000</v>
      </c>
      <c r="G144" s="12">
        <v>40000000000000</v>
      </c>
      <c r="H144" s="12">
        <v>2174396992348480</v>
      </c>
      <c r="I144" s="12" t="s">
        <v>88</v>
      </c>
      <c r="J144" s="12" t="s">
        <v>88</v>
      </c>
      <c r="K144" s="12"/>
      <c r="L144" s="13"/>
      <c r="M144" s="5" t="s">
        <v>68</v>
      </c>
      <c r="N144" s="5" t="s">
        <v>45</v>
      </c>
      <c r="O144" s="5" t="s">
        <v>89</v>
      </c>
      <c r="P144" s="5" t="s">
        <v>47</v>
      </c>
      <c r="Q144" s="5" t="s">
        <v>90</v>
      </c>
    </row>
    <row r="145" ht="17" spans="1:17">
      <c r="A145" t="s">
        <v>86</v>
      </c>
      <c r="B145" t="s">
        <v>87</v>
      </c>
      <c r="C145" t="s">
        <v>56</v>
      </c>
      <c r="D145" t="s">
        <v>57</v>
      </c>
      <c r="E145" t="s">
        <v>55</v>
      </c>
      <c r="F145" s="12">
        <v>2800000000000000</v>
      </c>
      <c r="G145" s="12">
        <v>40000000000000</v>
      </c>
      <c r="H145" s="12">
        <v>83968758602659.2</v>
      </c>
      <c r="I145" s="12" t="s">
        <v>88</v>
      </c>
      <c r="J145" s="12" t="s">
        <v>88</v>
      </c>
      <c r="K145" s="12"/>
      <c r="L145" s="13"/>
      <c r="M145" s="5" t="s">
        <v>68</v>
      </c>
      <c r="N145" s="5" t="s">
        <v>45</v>
      </c>
      <c r="O145" s="5" t="s">
        <v>89</v>
      </c>
      <c r="P145" s="5" t="s">
        <v>47</v>
      </c>
      <c r="Q145" s="5" t="s">
        <v>90</v>
      </c>
    </row>
    <row r="146" ht="17" spans="1:17">
      <c r="A146" t="s">
        <v>86</v>
      </c>
      <c r="B146" t="s">
        <v>87</v>
      </c>
      <c r="C146" t="s">
        <v>58</v>
      </c>
      <c r="D146" t="s">
        <v>59</v>
      </c>
      <c r="E146" t="s">
        <v>41</v>
      </c>
      <c r="F146" s="12">
        <v>2800000000000000</v>
      </c>
      <c r="G146" s="12">
        <v>40000000000000</v>
      </c>
      <c r="H146" s="12">
        <v>2320521592238.66</v>
      </c>
      <c r="I146" s="12" t="s">
        <v>88</v>
      </c>
      <c r="J146" s="12" t="s">
        <v>88</v>
      </c>
      <c r="K146" s="12"/>
      <c r="L146" s="13"/>
      <c r="M146" s="5" t="s">
        <v>68</v>
      </c>
      <c r="N146" s="5" t="s">
        <v>45</v>
      </c>
      <c r="O146" s="5" t="s">
        <v>89</v>
      </c>
      <c r="P146" s="5" t="s">
        <v>47</v>
      </c>
      <c r="Q146" s="5" t="s">
        <v>90</v>
      </c>
    </row>
    <row r="147" ht="17" spans="1:17">
      <c r="A147" t="s">
        <v>86</v>
      </c>
      <c r="B147" t="s">
        <v>87</v>
      </c>
      <c r="C147" t="s">
        <v>58</v>
      </c>
      <c r="D147" t="s">
        <v>59</v>
      </c>
      <c r="E147" t="s">
        <v>49</v>
      </c>
      <c r="F147" s="12">
        <v>2800000000000000</v>
      </c>
      <c r="G147" s="12">
        <v>40000000000000</v>
      </c>
      <c r="H147" s="12">
        <v>88174803080311.3</v>
      </c>
      <c r="I147" s="12" t="s">
        <v>88</v>
      </c>
      <c r="J147" s="12" t="s">
        <v>88</v>
      </c>
      <c r="K147" s="12"/>
      <c r="L147" s="13"/>
      <c r="M147" s="5" t="s">
        <v>68</v>
      </c>
      <c r="N147" s="5" t="s">
        <v>45</v>
      </c>
      <c r="O147" s="5" t="s">
        <v>89</v>
      </c>
      <c r="P147" s="5" t="s">
        <v>47</v>
      </c>
      <c r="Q147" s="5" t="s">
        <v>90</v>
      </c>
    </row>
    <row r="148" ht="17" spans="1:17">
      <c r="A148" t="s">
        <v>86</v>
      </c>
      <c r="B148" t="s">
        <v>87</v>
      </c>
      <c r="C148" t="s">
        <v>58</v>
      </c>
      <c r="D148" t="s">
        <v>59</v>
      </c>
      <c r="E148" t="s">
        <v>50</v>
      </c>
      <c r="F148" s="12">
        <v>2800000000000000</v>
      </c>
      <c r="G148" s="12">
        <v>40000000000000</v>
      </c>
      <c r="H148" s="12">
        <v>177348267460594</v>
      </c>
      <c r="I148" s="12" t="s">
        <v>88</v>
      </c>
      <c r="J148" s="12" t="s">
        <v>88</v>
      </c>
      <c r="K148" s="12"/>
      <c r="L148" s="13"/>
      <c r="M148" s="5" t="s">
        <v>68</v>
      </c>
      <c r="N148" s="5" t="s">
        <v>45</v>
      </c>
      <c r="O148" s="5" t="s">
        <v>89</v>
      </c>
      <c r="P148" s="5" t="s">
        <v>47</v>
      </c>
      <c r="Q148" s="5" t="s">
        <v>90</v>
      </c>
    </row>
    <row r="149" ht="17" spans="1:17">
      <c r="A149" t="s">
        <v>86</v>
      </c>
      <c r="B149" t="s">
        <v>87</v>
      </c>
      <c r="C149" t="s">
        <v>58</v>
      </c>
      <c r="D149" t="s">
        <v>59</v>
      </c>
      <c r="E149" t="s">
        <v>51</v>
      </c>
      <c r="F149" s="12">
        <v>2800000000000000</v>
      </c>
      <c r="G149" s="12">
        <v>40000000000000</v>
      </c>
      <c r="H149" s="12">
        <v>2349453697265670</v>
      </c>
      <c r="I149" s="12" t="s">
        <v>88</v>
      </c>
      <c r="J149" s="12" t="s">
        <v>88</v>
      </c>
      <c r="K149" s="12"/>
      <c r="L149" s="13"/>
      <c r="M149" s="5" t="s">
        <v>68</v>
      </c>
      <c r="N149" s="5" t="s">
        <v>45</v>
      </c>
      <c r="O149" s="5" t="s">
        <v>89</v>
      </c>
      <c r="P149" s="5" t="s">
        <v>47</v>
      </c>
      <c r="Q149" s="5" t="s">
        <v>90</v>
      </c>
    </row>
    <row r="150" ht="17" spans="1:17">
      <c r="A150" t="s">
        <v>86</v>
      </c>
      <c r="B150" t="s">
        <v>87</v>
      </c>
      <c r="C150" t="s">
        <v>58</v>
      </c>
      <c r="D150" t="s">
        <v>59</v>
      </c>
      <c r="E150" t="s">
        <v>52</v>
      </c>
      <c r="F150" s="12">
        <v>2800000000000000</v>
      </c>
      <c r="G150" s="12">
        <v>40000000000000</v>
      </c>
      <c r="H150" s="12">
        <v>429929209875327</v>
      </c>
      <c r="I150" s="12" t="s">
        <v>88</v>
      </c>
      <c r="J150" s="12" t="s">
        <v>88</v>
      </c>
      <c r="K150" s="12"/>
      <c r="L150" s="13"/>
      <c r="M150" s="5" t="s">
        <v>68</v>
      </c>
      <c r="N150" s="5" t="s">
        <v>45</v>
      </c>
      <c r="O150" s="5" t="s">
        <v>89</v>
      </c>
      <c r="P150" s="5" t="s">
        <v>47</v>
      </c>
      <c r="Q150" s="5" t="s">
        <v>90</v>
      </c>
    </row>
    <row r="151" ht="17" spans="1:17">
      <c r="A151" t="s">
        <v>86</v>
      </c>
      <c r="B151" t="s">
        <v>87</v>
      </c>
      <c r="C151" t="s">
        <v>58</v>
      </c>
      <c r="D151" t="s">
        <v>59</v>
      </c>
      <c r="E151" t="s">
        <v>53</v>
      </c>
      <c r="F151" s="12">
        <v>2800000000000000</v>
      </c>
      <c r="G151" s="12">
        <v>40000000000000</v>
      </c>
      <c r="H151" s="12">
        <v>1.06403541290064e+17</v>
      </c>
      <c r="I151" s="12" t="s">
        <v>88</v>
      </c>
      <c r="J151" s="12" t="s">
        <v>88</v>
      </c>
      <c r="K151" s="12"/>
      <c r="L151" s="13"/>
      <c r="M151" s="5" t="s">
        <v>68</v>
      </c>
      <c r="N151" s="5" t="s">
        <v>45</v>
      </c>
      <c r="O151" s="5" t="s">
        <v>89</v>
      </c>
      <c r="P151" s="5" t="s">
        <v>47</v>
      </c>
      <c r="Q151" s="5" t="s">
        <v>90</v>
      </c>
    </row>
    <row r="152" ht="17" spans="1:17">
      <c r="A152" t="s">
        <v>86</v>
      </c>
      <c r="B152" t="s">
        <v>87</v>
      </c>
      <c r="C152" t="s">
        <v>58</v>
      </c>
      <c r="D152" t="s">
        <v>59</v>
      </c>
      <c r="E152" t="s">
        <v>54</v>
      </c>
      <c r="F152" s="12">
        <v>2800000000000000</v>
      </c>
      <c r="G152" s="12">
        <v>40000000000000</v>
      </c>
      <c r="H152" s="12">
        <v>4516867741453960</v>
      </c>
      <c r="I152" s="12" t="s">
        <v>88</v>
      </c>
      <c r="J152" s="12" t="s">
        <v>88</v>
      </c>
      <c r="K152" s="12"/>
      <c r="L152" s="13"/>
      <c r="M152" s="5" t="s">
        <v>68</v>
      </c>
      <c r="N152" s="5" t="s">
        <v>45</v>
      </c>
      <c r="O152" s="5" t="s">
        <v>89</v>
      </c>
      <c r="P152" s="5" t="s">
        <v>47</v>
      </c>
      <c r="Q152" s="5" t="s">
        <v>90</v>
      </c>
    </row>
    <row r="153" ht="17" spans="1:17">
      <c r="A153" t="s">
        <v>86</v>
      </c>
      <c r="B153" t="s">
        <v>87</v>
      </c>
      <c r="C153" t="s">
        <v>58</v>
      </c>
      <c r="D153" t="s">
        <v>59</v>
      </c>
      <c r="E153" t="s">
        <v>55</v>
      </c>
      <c r="F153" s="12">
        <v>2800000000000000</v>
      </c>
      <c r="G153" s="12">
        <v>40000000000000</v>
      </c>
      <c r="H153" s="12">
        <v>96053121841168</v>
      </c>
      <c r="I153" s="12" t="s">
        <v>88</v>
      </c>
      <c r="J153" s="12" t="s">
        <v>88</v>
      </c>
      <c r="K153" s="12"/>
      <c r="L153" s="13"/>
      <c r="M153" s="5" t="s">
        <v>68</v>
      </c>
      <c r="N153" s="5" t="s">
        <v>45</v>
      </c>
      <c r="O153" s="5" t="s">
        <v>89</v>
      </c>
      <c r="P153" s="5" t="s">
        <v>47</v>
      </c>
      <c r="Q153" s="5" t="s">
        <v>90</v>
      </c>
    </row>
    <row r="154" ht="17" spans="1:17">
      <c r="A154" t="s">
        <v>86</v>
      </c>
      <c r="B154" t="s">
        <v>87</v>
      </c>
      <c r="C154" t="s">
        <v>60</v>
      </c>
      <c r="D154" t="s">
        <v>61</v>
      </c>
      <c r="E154" t="s">
        <v>41</v>
      </c>
      <c r="F154" s="12">
        <v>2800000000000000</v>
      </c>
      <c r="G154" s="12">
        <v>40000000000000</v>
      </c>
      <c r="H154" s="12">
        <v>14408214379333.8</v>
      </c>
      <c r="I154" s="12" t="s">
        <v>88</v>
      </c>
      <c r="J154" s="12" t="s">
        <v>88</v>
      </c>
      <c r="K154" s="12"/>
      <c r="L154" s="13"/>
      <c r="M154" s="5" t="s">
        <v>68</v>
      </c>
      <c r="N154" s="5" t="s">
        <v>45</v>
      </c>
      <c r="O154" s="5" t="s">
        <v>89</v>
      </c>
      <c r="P154" s="5" t="s">
        <v>91</v>
      </c>
      <c r="Q154" s="5" t="s">
        <v>90</v>
      </c>
    </row>
    <row r="155" ht="17" spans="1:17">
      <c r="A155" t="s">
        <v>86</v>
      </c>
      <c r="B155" t="s">
        <v>87</v>
      </c>
      <c r="C155" t="s">
        <v>60</v>
      </c>
      <c r="D155" t="s">
        <v>61</v>
      </c>
      <c r="E155" t="s">
        <v>49</v>
      </c>
      <c r="F155" s="12">
        <v>2800000000000000</v>
      </c>
      <c r="G155" s="12">
        <v>40000000000000</v>
      </c>
      <c r="H155" s="12">
        <v>114697799471186</v>
      </c>
      <c r="I155" s="12" t="s">
        <v>88</v>
      </c>
      <c r="J155" s="12" t="s">
        <v>88</v>
      </c>
      <c r="K155" s="12"/>
      <c r="L155" s="13"/>
      <c r="M155" s="5" t="s">
        <v>68</v>
      </c>
      <c r="N155" s="5" t="s">
        <v>45</v>
      </c>
      <c r="O155" s="5" t="s">
        <v>89</v>
      </c>
      <c r="P155" s="5" t="s">
        <v>91</v>
      </c>
      <c r="Q155" s="5" t="s">
        <v>90</v>
      </c>
    </row>
    <row r="156" ht="17" spans="1:17">
      <c r="A156" t="s">
        <v>86</v>
      </c>
      <c r="B156" t="s">
        <v>87</v>
      </c>
      <c r="C156" t="s">
        <v>60</v>
      </c>
      <c r="D156" t="s">
        <v>61</v>
      </c>
      <c r="E156" t="s">
        <v>50</v>
      </c>
      <c r="F156" s="12">
        <v>2800000000000000</v>
      </c>
      <c r="G156" s="12">
        <v>40000000000000</v>
      </c>
      <c r="H156" s="12">
        <v>193570897285292</v>
      </c>
      <c r="I156" s="12" t="s">
        <v>88</v>
      </c>
      <c r="J156" s="12" t="s">
        <v>88</v>
      </c>
      <c r="K156" s="12"/>
      <c r="L156" s="13"/>
      <c r="M156" s="5" t="s">
        <v>68</v>
      </c>
      <c r="N156" s="5" t="s">
        <v>45</v>
      </c>
      <c r="O156" s="5" t="s">
        <v>89</v>
      </c>
      <c r="P156" s="5" t="s">
        <v>91</v>
      </c>
      <c r="Q156" s="5" t="s">
        <v>90</v>
      </c>
    </row>
    <row r="157" ht="17" spans="1:17">
      <c r="A157" t="s">
        <v>86</v>
      </c>
      <c r="B157" t="s">
        <v>87</v>
      </c>
      <c r="C157" t="s">
        <v>60</v>
      </c>
      <c r="D157" t="s">
        <v>61</v>
      </c>
      <c r="E157" t="s">
        <v>51</v>
      </c>
      <c r="F157" s="12">
        <v>2800000000000000</v>
      </c>
      <c r="G157" s="12">
        <v>40000000000000</v>
      </c>
      <c r="H157" s="12">
        <v>1383361831558250</v>
      </c>
      <c r="I157" s="12" t="s">
        <v>88</v>
      </c>
      <c r="J157" s="12" t="s">
        <v>88</v>
      </c>
      <c r="K157" s="12"/>
      <c r="L157" s="13"/>
      <c r="M157" s="5" t="s">
        <v>68</v>
      </c>
      <c r="N157" s="5" t="s">
        <v>45</v>
      </c>
      <c r="O157" s="5" t="s">
        <v>89</v>
      </c>
      <c r="P157" s="5" t="s">
        <v>91</v>
      </c>
      <c r="Q157" s="5" t="s">
        <v>90</v>
      </c>
    </row>
    <row r="158" ht="17" spans="1:17">
      <c r="A158" t="s">
        <v>86</v>
      </c>
      <c r="B158" t="s">
        <v>87</v>
      </c>
      <c r="C158" t="s">
        <v>60</v>
      </c>
      <c r="D158" t="s">
        <v>61</v>
      </c>
      <c r="E158" t="s">
        <v>52</v>
      </c>
      <c r="F158" s="12">
        <v>2800000000000000</v>
      </c>
      <c r="G158" s="12">
        <v>40000000000000</v>
      </c>
      <c r="H158" s="12">
        <v>583003379333599</v>
      </c>
      <c r="I158" s="12" t="s">
        <v>88</v>
      </c>
      <c r="J158" s="12" t="s">
        <v>88</v>
      </c>
      <c r="K158" s="12"/>
      <c r="L158" s="13"/>
      <c r="M158" s="5" t="s">
        <v>68</v>
      </c>
      <c r="N158" s="5" t="s">
        <v>45</v>
      </c>
      <c r="O158" s="5" t="s">
        <v>89</v>
      </c>
      <c r="P158" s="5" t="s">
        <v>91</v>
      </c>
      <c r="Q158" s="5" t="s">
        <v>90</v>
      </c>
    </row>
    <row r="159" ht="17" spans="1:17">
      <c r="A159" t="s">
        <v>86</v>
      </c>
      <c r="B159" t="s">
        <v>87</v>
      </c>
      <c r="C159" t="s">
        <v>60</v>
      </c>
      <c r="D159" t="s">
        <v>61</v>
      </c>
      <c r="E159" t="s">
        <v>53</v>
      </c>
      <c r="F159" s="12">
        <v>2800000000000000</v>
      </c>
      <c r="G159" s="12">
        <v>40000000000000</v>
      </c>
      <c r="H159" s="12">
        <v>1.05068932462385e+17</v>
      </c>
      <c r="I159" s="12" t="s">
        <v>88</v>
      </c>
      <c r="J159" s="12" t="s">
        <v>88</v>
      </c>
      <c r="K159" s="12"/>
      <c r="L159" s="13"/>
      <c r="M159" s="5" t="s">
        <v>68</v>
      </c>
      <c r="N159" s="5" t="s">
        <v>45</v>
      </c>
      <c r="O159" s="5" t="s">
        <v>89</v>
      </c>
      <c r="P159" s="5" t="s">
        <v>91</v>
      </c>
      <c r="Q159" s="5" t="s">
        <v>90</v>
      </c>
    </row>
    <row r="160" ht="17" spans="1:17">
      <c r="A160" t="s">
        <v>86</v>
      </c>
      <c r="B160" t="s">
        <v>87</v>
      </c>
      <c r="C160" t="s">
        <v>60</v>
      </c>
      <c r="D160" t="s">
        <v>61</v>
      </c>
      <c r="E160" t="s">
        <v>54</v>
      </c>
      <c r="F160" s="12">
        <v>2800000000000000</v>
      </c>
      <c r="G160" s="12">
        <v>40000000000000</v>
      </c>
      <c r="H160" s="12">
        <v>4930993768941760</v>
      </c>
      <c r="I160" s="12" t="s">
        <v>88</v>
      </c>
      <c r="J160" s="12" t="s">
        <v>88</v>
      </c>
      <c r="K160" s="12"/>
      <c r="L160" s="13"/>
      <c r="M160" s="5" t="s">
        <v>68</v>
      </c>
      <c r="N160" s="5" t="s">
        <v>45</v>
      </c>
      <c r="O160" s="5" t="s">
        <v>89</v>
      </c>
      <c r="P160" s="5" t="s">
        <v>91</v>
      </c>
      <c r="Q160" s="5" t="s">
        <v>90</v>
      </c>
    </row>
    <row r="161" ht="17" spans="1:17">
      <c r="A161" t="s">
        <v>86</v>
      </c>
      <c r="B161" t="s">
        <v>87</v>
      </c>
      <c r="C161" t="s">
        <v>60</v>
      </c>
      <c r="D161" t="s">
        <v>61</v>
      </c>
      <c r="E161" t="s">
        <v>55</v>
      </c>
      <c r="F161" s="12">
        <v>2800000000000000</v>
      </c>
      <c r="G161" s="12">
        <v>40000000000000</v>
      </c>
      <c r="H161" s="12">
        <v>119767909813996</v>
      </c>
      <c r="I161" s="12" t="s">
        <v>88</v>
      </c>
      <c r="J161" s="12" t="s">
        <v>88</v>
      </c>
      <c r="K161" s="12"/>
      <c r="L161" s="13"/>
      <c r="M161" s="5" t="s">
        <v>68</v>
      </c>
      <c r="N161" s="5" t="s">
        <v>45</v>
      </c>
      <c r="O161" s="5" t="s">
        <v>89</v>
      </c>
      <c r="P161" s="5" t="s">
        <v>91</v>
      </c>
      <c r="Q161" s="5" t="s">
        <v>90</v>
      </c>
    </row>
    <row r="162" ht="17" spans="1:17">
      <c r="A162" t="s">
        <v>86</v>
      </c>
      <c r="B162" t="s">
        <v>87</v>
      </c>
      <c r="C162" t="s">
        <v>70</v>
      </c>
      <c r="D162" t="s">
        <v>71</v>
      </c>
      <c r="E162" t="s">
        <v>41</v>
      </c>
      <c r="F162" s="12">
        <v>2800000000000000</v>
      </c>
      <c r="G162" s="12">
        <v>40000000000000</v>
      </c>
      <c r="H162" s="12">
        <v>21096968415127.4</v>
      </c>
      <c r="I162" s="12" t="s">
        <v>88</v>
      </c>
      <c r="J162" s="12" t="s">
        <v>88</v>
      </c>
      <c r="K162" s="12"/>
      <c r="L162" s="13"/>
      <c r="M162" s="5" t="s">
        <v>68</v>
      </c>
      <c r="N162" s="5" t="s">
        <v>45</v>
      </c>
      <c r="O162" s="5" t="s">
        <v>89</v>
      </c>
      <c r="P162" s="5" t="s">
        <v>47</v>
      </c>
      <c r="Q162" s="5" t="s">
        <v>90</v>
      </c>
    </row>
    <row r="163" ht="17" spans="1:17">
      <c r="A163" t="s">
        <v>86</v>
      </c>
      <c r="B163" t="s">
        <v>87</v>
      </c>
      <c r="C163" t="s">
        <v>70</v>
      </c>
      <c r="D163" t="s">
        <v>71</v>
      </c>
      <c r="E163" t="s">
        <v>49</v>
      </c>
      <c r="F163" s="12">
        <v>2800000000000000</v>
      </c>
      <c r="G163" s="12">
        <v>40000000000000</v>
      </c>
      <c r="H163" s="12">
        <v>118603493287150</v>
      </c>
      <c r="I163" s="12" t="s">
        <v>88</v>
      </c>
      <c r="J163" s="12" t="s">
        <v>88</v>
      </c>
      <c r="K163" s="12"/>
      <c r="L163" s="13"/>
      <c r="M163" s="5" t="s">
        <v>68</v>
      </c>
      <c r="N163" s="5" t="s">
        <v>45</v>
      </c>
      <c r="O163" s="5" t="s">
        <v>89</v>
      </c>
      <c r="P163" s="5" t="s">
        <v>47</v>
      </c>
      <c r="Q163" s="5" t="s">
        <v>90</v>
      </c>
    </row>
    <row r="164" ht="17" spans="1:17">
      <c r="A164" t="s">
        <v>86</v>
      </c>
      <c r="B164" t="s">
        <v>87</v>
      </c>
      <c r="C164" t="s">
        <v>70</v>
      </c>
      <c r="D164" t="s">
        <v>71</v>
      </c>
      <c r="E164" t="s">
        <v>50</v>
      </c>
      <c r="F164" s="12">
        <v>2800000000000000</v>
      </c>
      <c r="G164" s="12">
        <v>40000000000000</v>
      </c>
      <c r="H164" s="12">
        <v>157304376535559</v>
      </c>
      <c r="I164" s="12" t="s">
        <v>88</v>
      </c>
      <c r="J164" s="12" t="s">
        <v>88</v>
      </c>
      <c r="K164" s="12"/>
      <c r="L164" s="13"/>
      <c r="M164" s="5" t="s">
        <v>68</v>
      </c>
      <c r="N164" s="5" t="s">
        <v>45</v>
      </c>
      <c r="O164" s="5" t="s">
        <v>89</v>
      </c>
      <c r="P164" s="5" t="s">
        <v>47</v>
      </c>
      <c r="Q164" s="5" t="s">
        <v>90</v>
      </c>
    </row>
    <row r="165" ht="17" spans="1:17">
      <c r="A165" t="s">
        <v>86</v>
      </c>
      <c r="B165" t="s">
        <v>87</v>
      </c>
      <c r="C165" t="s">
        <v>70</v>
      </c>
      <c r="D165" t="s">
        <v>71</v>
      </c>
      <c r="E165" t="s">
        <v>51</v>
      </c>
      <c r="F165" s="12">
        <v>2800000000000000</v>
      </c>
      <c r="G165" s="12">
        <v>40000000000000</v>
      </c>
      <c r="H165" s="12">
        <v>1195393340894080</v>
      </c>
      <c r="I165" s="12" t="s">
        <v>88</v>
      </c>
      <c r="J165" s="12" t="s">
        <v>88</v>
      </c>
      <c r="K165" s="12"/>
      <c r="L165" s="13"/>
      <c r="M165" s="5" t="s">
        <v>68</v>
      </c>
      <c r="N165" s="5" t="s">
        <v>45</v>
      </c>
      <c r="O165" s="5" t="s">
        <v>89</v>
      </c>
      <c r="P165" s="5" t="s">
        <v>47</v>
      </c>
      <c r="Q165" s="5" t="s">
        <v>90</v>
      </c>
    </row>
    <row r="166" ht="17" spans="1:17">
      <c r="A166" t="s">
        <v>86</v>
      </c>
      <c r="B166" t="s">
        <v>87</v>
      </c>
      <c r="C166" t="s">
        <v>70</v>
      </c>
      <c r="D166" t="s">
        <v>71</v>
      </c>
      <c r="E166" t="s">
        <v>52</v>
      </c>
      <c r="F166" s="12">
        <v>2800000000000000</v>
      </c>
      <c r="G166" s="12">
        <v>40000000000000</v>
      </c>
      <c r="H166" s="12">
        <v>541797813639100</v>
      </c>
      <c r="I166" s="12" t="s">
        <v>88</v>
      </c>
      <c r="J166" s="12" t="s">
        <v>88</v>
      </c>
      <c r="K166" s="12"/>
      <c r="L166" s="13"/>
      <c r="M166" s="5" t="s">
        <v>68</v>
      </c>
      <c r="N166" s="5" t="s">
        <v>45</v>
      </c>
      <c r="O166" s="5" t="s">
        <v>89</v>
      </c>
      <c r="P166" s="5" t="s">
        <v>47</v>
      </c>
      <c r="Q166" s="5" t="s">
        <v>90</v>
      </c>
    </row>
    <row r="167" ht="17" spans="1:17">
      <c r="A167" t="s">
        <v>86</v>
      </c>
      <c r="B167" t="s">
        <v>87</v>
      </c>
      <c r="C167" t="s">
        <v>70</v>
      </c>
      <c r="D167" t="s">
        <v>71</v>
      </c>
      <c r="E167" t="s">
        <v>53</v>
      </c>
      <c r="F167" s="12">
        <v>2800000000000000</v>
      </c>
      <c r="G167" s="12">
        <v>40000000000000</v>
      </c>
      <c r="H167" s="12">
        <v>1.06442223838898e+17</v>
      </c>
      <c r="I167" s="12" t="s">
        <v>88</v>
      </c>
      <c r="J167" s="12" t="s">
        <v>88</v>
      </c>
      <c r="K167" s="12"/>
      <c r="L167" s="13"/>
      <c r="M167" s="5" t="s">
        <v>68</v>
      </c>
      <c r="N167" s="5" t="s">
        <v>45</v>
      </c>
      <c r="O167" s="5" t="s">
        <v>89</v>
      </c>
      <c r="P167" s="5" t="s">
        <v>47</v>
      </c>
      <c r="Q167" s="5" t="s">
        <v>90</v>
      </c>
    </row>
    <row r="168" ht="17" spans="1:17">
      <c r="A168" t="s">
        <v>86</v>
      </c>
      <c r="B168" t="s">
        <v>87</v>
      </c>
      <c r="C168" t="s">
        <v>70</v>
      </c>
      <c r="D168" t="s">
        <v>71</v>
      </c>
      <c r="E168" t="s">
        <v>54</v>
      </c>
      <c r="F168" s="12">
        <v>2800000000000000</v>
      </c>
      <c r="G168" s="12">
        <v>40000000000000</v>
      </c>
      <c r="H168" s="12">
        <v>4741426919142730</v>
      </c>
      <c r="I168" s="12" t="s">
        <v>88</v>
      </c>
      <c r="J168" s="12" t="s">
        <v>88</v>
      </c>
      <c r="K168" s="12"/>
      <c r="L168" s="13"/>
      <c r="M168" s="5" t="s">
        <v>68</v>
      </c>
      <c r="N168" s="5" t="s">
        <v>45</v>
      </c>
      <c r="O168" s="5" t="s">
        <v>89</v>
      </c>
      <c r="P168" s="5" t="s">
        <v>47</v>
      </c>
      <c r="Q168" s="5" t="s">
        <v>90</v>
      </c>
    </row>
    <row r="169" ht="17" spans="1:17">
      <c r="A169" t="s">
        <v>86</v>
      </c>
      <c r="B169" t="s">
        <v>87</v>
      </c>
      <c r="C169" t="s">
        <v>70</v>
      </c>
      <c r="D169" t="s">
        <v>71</v>
      </c>
      <c r="E169" t="s">
        <v>55</v>
      </c>
      <c r="F169" s="12">
        <v>2800000000000000</v>
      </c>
      <c r="G169" s="12">
        <v>40000000000000</v>
      </c>
      <c r="H169" s="12">
        <v>99857787442936.6</v>
      </c>
      <c r="I169" s="12" t="s">
        <v>88</v>
      </c>
      <c r="J169" s="12" t="s">
        <v>88</v>
      </c>
      <c r="K169" s="12"/>
      <c r="L169" s="13"/>
      <c r="M169" s="5" t="s">
        <v>68</v>
      </c>
      <c r="N169" s="5" t="s">
        <v>45</v>
      </c>
      <c r="O169" s="5" t="s">
        <v>89</v>
      </c>
      <c r="P169" s="5" t="s">
        <v>47</v>
      </c>
      <c r="Q169" s="5" t="s">
        <v>90</v>
      </c>
    </row>
    <row r="170" ht="17" spans="1:17">
      <c r="A170" t="s">
        <v>86</v>
      </c>
      <c r="B170" t="s">
        <v>87</v>
      </c>
      <c r="C170" t="s">
        <v>72</v>
      </c>
      <c r="D170" t="s">
        <v>73</v>
      </c>
      <c r="E170" t="s">
        <v>41</v>
      </c>
      <c r="F170" s="12">
        <v>2800000000000000</v>
      </c>
      <c r="G170" s="12">
        <v>40000000000000</v>
      </c>
      <c r="H170" s="12">
        <v>14161079459197</v>
      </c>
      <c r="I170" s="12" t="s">
        <v>88</v>
      </c>
      <c r="J170" s="12" t="s">
        <v>88</v>
      </c>
      <c r="K170" s="12"/>
      <c r="L170" s="13"/>
      <c r="M170" s="5" t="s">
        <v>68</v>
      </c>
      <c r="N170" s="5" t="s">
        <v>45</v>
      </c>
      <c r="O170" s="5" t="s">
        <v>89</v>
      </c>
      <c r="P170" s="5" t="s">
        <v>47</v>
      </c>
      <c r="Q170" s="5" t="s">
        <v>90</v>
      </c>
    </row>
    <row r="171" ht="17" spans="1:17">
      <c r="A171" t="s">
        <v>86</v>
      </c>
      <c r="B171" t="s">
        <v>87</v>
      </c>
      <c r="C171" t="s">
        <v>72</v>
      </c>
      <c r="D171" t="s">
        <v>73</v>
      </c>
      <c r="E171" t="s">
        <v>49</v>
      </c>
      <c r="F171" s="12">
        <v>2800000000000000</v>
      </c>
      <c r="G171" s="12">
        <v>40000000000000</v>
      </c>
      <c r="H171" s="12">
        <v>87814447150111.8</v>
      </c>
      <c r="I171" s="12" t="s">
        <v>88</v>
      </c>
      <c r="J171" s="12" t="s">
        <v>88</v>
      </c>
      <c r="K171" s="12"/>
      <c r="L171" s="13"/>
      <c r="M171" s="5" t="s">
        <v>68</v>
      </c>
      <c r="N171" s="5" t="s">
        <v>45</v>
      </c>
      <c r="O171" s="5" t="s">
        <v>89</v>
      </c>
      <c r="P171" s="5" t="s">
        <v>47</v>
      </c>
      <c r="Q171" s="5" t="s">
        <v>90</v>
      </c>
    </row>
    <row r="172" ht="17" spans="1:17">
      <c r="A172" t="s">
        <v>86</v>
      </c>
      <c r="B172" t="s">
        <v>87</v>
      </c>
      <c r="C172" t="s">
        <v>72</v>
      </c>
      <c r="D172" t="s">
        <v>73</v>
      </c>
      <c r="E172" t="s">
        <v>50</v>
      </c>
      <c r="F172" s="12">
        <v>2800000000000000</v>
      </c>
      <c r="G172" s="12">
        <v>40000000000000</v>
      </c>
      <c r="H172" s="12">
        <v>139809014995701</v>
      </c>
      <c r="I172" s="12" t="s">
        <v>88</v>
      </c>
      <c r="J172" s="12" t="s">
        <v>88</v>
      </c>
      <c r="K172" s="12"/>
      <c r="L172" s="13"/>
      <c r="M172" s="5" t="s">
        <v>68</v>
      </c>
      <c r="N172" s="5" t="s">
        <v>45</v>
      </c>
      <c r="O172" s="5" t="s">
        <v>89</v>
      </c>
      <c r="P172" s="5" t="s">
        <v>47</v>
      </c>
      <c r="Q172" s="5" t="s">
        <v>90</v>
      </c>
    </row>
    <row r="173" ht="17" spans="1:17">
      <c r="A173" t="s">
        <v>86</v>
      </c>
      <c r="B173" t="s">
        <v>87</v>
      </c>
      <c r="C173" t="s">
        <v>72</v>
      </c>
      <c r="D173" t="s">
        <v>73</v>
      </c>
      <c r="E173" t="s">
        <v>51</v>
      </c>
      <c r="F173" s="12">
        <v>2800000000000000</v>
      </c>
      <c r="G173" s="12">
        <v>40000000000000</v>
      </c>
      <c r="H173" s="12">
        <v>876405895850674</v>
      </c>
      <c r="I173" s="12" t="s">
        <v>88</v>
      </c>
      <c r="J173" s="12" t="s">
        <v>88</v>
      </c>
      <c r="K173" s="12"/>
      <c r="L173" s="13"/>
      <c r="M173" s="5" t="s">
        <v>68</v>
      </c>
      <c r="N173" s="5" t="s">
        <v>45</v>
      </c>
      <c r="O173" s="5" t="s">
        <v>89</v>
      </c>
      <c r="P173" s="5" t="s">
        <v>47</v>
      </c>
      <c r="Q173" s="5" t="s">
        <v>90</v>
      </c>
    </row>
    <row r="174" ht="17" spans="1:17">
      <c r="A174" t="s">
        <v>86</v>
      </c>
      <c r="B174" t="s">
        <v>87</v>
      </c>
      <c r="C174" t="s">
        <v>72</v>
      </c>
      <c r="D174" t="s">
        <v>73</v>
      </c>
      <c r="E174" t="s">
        <v>52</v>
      </c>
      <c r="F174" s="12">
        <v>2800000000000000</v>
      </c>
      <c r="G174" s="12">
        <v>40000000000000</v>
      </c>
      <c r="H174" s="12">
        <v>450518551721619</v>
      </c>
      <c r="I174" s="12" t="s">
        <v>88</v>
      </c>
      <c r="J174" s="12" t="s">
        <v>88</v>
      </c>
      <c r="K174" s="12"/>
      <c r="L174" s="13"/>
      <c r="M174" s="5" t="s">
        <v>68</v>
      </c>
      <c r="N174" s="5" t="s">
        <v>45</v>
      </c>
      <c r="O174" s="5" t="s">
        <v>89</v>
      </c>
      <c r="P174" s="5" t="s">
        <v>47</v>
      </c>
      <c r="Q174" s="5" t="s">
        <v>90</v>
      </c>
    </row>
    <row r="175" ht="17" spans="1:17">
      <c r="A175" t="s">
        <v>86</v>
      </c>
      <c r="B175" t="s">
        <v>87</v>
      </c>
      <c r="C175" t="s">
        <v>72</v>
      </c>
      <c r="D175" t="s">
        <v>73</v>
      </c>
      <c r="E175" t="s">
        <v>53</v>
      </c>
      <c r="F175" s="12">
        <v>2800000000000000</v>
      </c>
      <c r="G175" s="12">
        <v>40000000000000</v>
      </c>
      <c r="H175" s="12">
        <v>1.10446519816758e+17</v>
      </c>
      <c r="I175" s="12" t="s">
        <v>88</v>
      </c>
      <c r="J175" s="12" t="s">
        <v>88</v>
      </c>
      <c r="K175" s="12"/>
      <c r="L175" s="13"/>
      <c r="M175" s="5" t="s">
        <v>68</v>
      </c>
      <c r="N175" s="5" t="s">
        <v>45</v>
      </c>
      <c r="O175" s="5" t="s">
        <v>89</v>
      </c>
      <c r="P175" s="5" t="s">
        <v>47</v>
      </c>
      <c r="Q175" s="5" t="s">
        <v>90</v>
      </c>
    </row>
    <row r="176" ht="17" spans="1:17">
      <c r="A176" t="s">
        <v>86</v>
      </c>
      <c r="B176" t="s">
        <v>87</v>
      </c>
      <c r="C176" t="s">
        <v>72</v>
      </c>
      <c r="D176" t="s">
        <v>73</v>
      </c>
      <c r="E176" t="s">
        <v>54</v>
      </c>
      <c r="F176" s="12">
        <v>2800000000000000</v>
      </c>
      <c r="G176" s="12">
        <v>40000000000000</v>
      </c>
      <c r="H176" s="12">
        <v>4498439299191700</v>
      </c>
      <c r="I176" s="12" t="s">
        <v>88</v>
      </c>
      <c r="J176" s="12" t="s">
        <v>88</v>
      </c>
      <c r="K176" s="12"/>
      <c r="L176" s="13"/>
      <c r="M176" s="5" t="s">
        <v>68</v>
      </c>
      <c r="N176" s="5" t="s">
        <v>45</v>
      </c>
      <c r="O176" s="5" t="s">
        <v>89</v>
      </c>
      <c r="P176" s="5" t="s">
        <v>47</v>
      </c>
      <c r="Q176" s="5" t="s">
        <v>90</v>
      </c>
    </row>
    <row r="177" ht="17" spans="1:17">
      <c r="A177" t="s">
        <v>86</v>
      </c>
      <c r="B177" t="s">
        <v>87</v>
      </c>
      <c r="C177" t="s">
        <v>72</v>
      </c>
      <c r="D177" t="s">
        <v>73</v>
      </c>
      <c r="E177" t="s">
        <v>55</v>
      </c>
      <c r="F177" s="12">
        <v>2800000000000000</v>
      </c>
      <c r="G177" s="12">
        <v>40000000000000</v>
      </c>
      <c r="H177" s="12">
        <v>92841406340443.7</v>
      </c>
      <c r="I177" s="12" t="s">
        <v>88</v>
      </c>
      <c r="J177" s="12" t="s">
        <v>88</v>
      </c>
      <c r="K177" s="12"/>
      <c r="L177" s="13"/>
      <c r="M177" s="5" t="s">
        <v>68</v>
      </c>
      <c r="N177" s="5" t="s">
        <v>45</v>
      </c>
      <c r="O177" s="5" t="s">
        <v>89</v>
      </c>
      <c r="P177" s="5" t="s">
        <v>47</v>
      </c>
      <c r="Q177" s="5" t="s">
        <v>90</v>
      </c>
    </row>
    <row r="178" ht="17" spans="1:17">
      <c r="A178" t="s">
        <v>86</v>
      </c>
      <c r="B178" t="s">
        <v>87</v>
      </c>
      <c r="C178" t="s">
        <v>74</v>
      </c>
      <c r="D178" t="s">
        <v>75</v>
      </c>
      <c r="E178" t="s">
        <v>41</v>
      </c>
      <c r="F178" s="12">
        <v>2800000000000000</v>
      </c>
      <c r="G178" s="12">
        <v>40000000000000</v>
      </c>
      <c r="H178" s="12">
        <v>19991808057337.9</v>
      </c>
      <c r="I178" s="12" t="s">
        <v>88</v>
      </c>
      <c r="J178" s="12" t="s">
        <v>88</v>
      </c>
      <c r="K178" s="12"/>
      <c r="L178" s="13"/>
      <c r="M178" s="5" t="s">
        <v>68</v>
      </c>
      <c r="N178" s="5" t="s">
        <v>45</v>
      </c>
      <c r="O178" s="5" t="s">
        <v>89</v>
      </c>
      <c r="P178" s="5" t="s">
        <v>47</v>
      </c>
      <c r="Q178" s="5" t="s">
        <v>90</v>
      </c>
    </row>
    <row r="179" ht="17" spans="1:17">
      <c r="A179" t="s">
        <v>86</v>
      </c>
      <c r="B179" t="s">
        <v>87</v>
      </c>
      <c r="C179" t="s">
        <v>74</v>
      </c>
      <c r="D179" t="s">
        <v>75</v>
      </c>
      <c r="E179" t="s">
        <v>49</v>
      </c>
      <c r="F179" s="12">
        <v>2800000000000000</v>
      </c>
      <c r="G179" s="12">
        <v>40000000000000</v>
      </c>
      <c r="H179" s="12">
        <v>73406357424221.6</v>
      </c>
      <c r="I179" s="12" t="s">
        <v>88</v>
      </c>
      <c r="J179" s="12" t="s">
        <v>88</v>
      </c>
      <c r="K179" s="12"/>
      <c r="L179" s="13"/>
      <c r="M179" s="5" t="s">
        <v>68</v>
      </c>
      <c r="N179" s="5" t="s">
        <v>45</v>
      </c>
      <c r="O179" s="5" t="s">
        <v>89</v>
      </c>
      <c r="P179" s="5" t="s">
        <v>47</v>
      </c>
      <c r="Q179" s="5" t="s">
        <v>90</v>
      </c>
    </row>
    <row r="180" ht="17" spans="1:17">
      <c r="A180" t="s">
        <v>86</v>
      </c>
      <c r="B180" t="s">
        <v>87</v>
      </c>
      <c r="C180" t="s">
        <v>74</v>
      </c>
      <c r="D180" t="s">
        <v>75</v>
      </c>
      <c r="E180" t="s">
        <v>50</v>
      </c>
      <c r="F180" s="12">
        <v>2800000000000000</v>
      </c>
      <c r="G180" s="12">
        <v>40000000000000</v>
      </c>
      <c r="H180" s="12">
        <v>110556597486949</v>
      </c>
      <c r="I180" s="12" t="s">
        <v>88</v>
      </c>
      <c r="J180" s="12" t="s">
        <v>88</v>
      </c>
      <c r="K180" s="12"/>
      <c r="L180" s="13"/>
      <c r="M180" s="5" t="s">
        <v>68</v>
      </c>
      <c r="N180" s="5" t="s">
        <v>45</v>
      </c>
      <c r="O180" s="5" t="s">
        <v>89</v>
      </c>
      <c r="P180" s="5" t="s">
        <v>47</v>
      </c>
      <c r="Q180" s="5" t="s">
        <v>90</v>
      </c>
    </row>
    <row r="181" ht="17" spans="1:17">
      <c r="A181" t="s">
        <v>86</v>
      </c>
      <c r="B181" t="s">
        <v>87</v>
      </c>
      <c r="C181" t="s">
        <v>74</v>
      </c>
      <c r="D181" t="s">
        <v>75</v>
      </c>
      <c r="E181" t="s">
        <v>51</v>
      </c>
      <c r="F181" s="12">
        <v>2800000000000000</v>
      </c>
      <c r="G181" s="12">
        <v>40000000000000</v>
      </c>
      <c r="H181" s="12">
        <v>391024655790961</v>
      </c>
      <c r="I181" s="12" t="s">
        <v>88</v>
      </c>
      <c r="J181" s="12" t="s">
        <v>88</v>
      </c>
      <c r="K181" s="12"/>
      <c r="L181" s="13"/>
      <c r="M181" s="5" t="s">
        <v>68</v>
      </c>
      <c r="N181" s="5" t="s">
        <v>45</v>
      </c>
      <c r="O181" s="5" t="s">
        <v>89</v>
      </c>
      <c r="P181" s="5" t="s">
        <v>47</v>
      </c>
      <c r="Q181" s="5" t="s">
        <v>90</v>
      </c>
    </row>
    <row r="182" ht="17" spans="1:17">
      <c r="A182" t="s">
        <v>86</v>
      </c>
      <c r="B182" t="s">
        <v>87</v>
      </c>
      <c r="C182" t="s">
        <v>74</v>
      </c>
      <c r="D182" t="s">
        <v>75</v>
      </c>
      <c r="E182" t="s">
        <v>52</v>
      </c>
      <c r="F182" s="12">
        <v>2800000000000000</v>
      </c>
      <c r="G182" s="12">
        <v>40000000000000</v>
      </c>
      <c r="H182" s="12">
        <v>391332893942507</v>
      </c>
      <c r="I182" s="12" t="s">
        <v>88</v>
      </c>
      <c r="J182" s="12" t="s">
        <v>88</v>
      </c>
      <c r="K182" s="12"/>
      <c r="L182" s="13"/>
      <c r="M182" s="5" t="s">
        <v>68</v>
      </c>
      <c r="N182" s="5" t="s">
        <v>45</v>
      </c>
      <c r="O182" s="5" t="s">
        <v>89</v>
      </c>
      <c r="P182" s="5" t="s">
        <v>47</v>
      </c>
      <c r="Q182" s="5" t="s">
        <v>90</v>
      </c>
    </row>
    <row r="183" ht="17" spans="1:17">
      <c r="A183" t="s">
        <v>86</v>
      </c>
      <c r="B183" t="s">
        <v>87</v>
      </c>
      <c r="C183" t="s">
        <v>74</v>
      </c>
      <c r="D183" t="s">
        <v>75</v>
      </c>
      <c r="E183" t="s">
        <v>53</v>
      </c>
      <c r="F183" s="12">
        <v>2800000000000000</v>
      </c>
      <c r="G183" s="12">
        <v>40000000000000</v>
      </c>
      <c r="H183" s="12">
        <v>1.14087010633001e+17</v>
      </c>
      <c r="I183" s="12" t="s">
        <v>88</v>
      </c>
      <c r="J183" s="12" t="s">
        <v>88</v>
      </c>
      <c r="K183" s="12"/>
      <c r="L183" s="13"/>
      <c r="M183" s="5" t="s">
        <v>68</v>
      </c>
      <c r="N183" s="5" t="s">
        <v>45</v>
      </c>
      <c r="O183" s="5" t="s">
        <v>89</v>
      </c>
      <c r="P183" s="5" t="s">
        <v>47</v>
      </c>
      <c r="Q183" s="5" t="s">
        <v>90</v>
      </c>
    </row>
    <row r="184" ht="17" spans="1:17">
      <c r="A184" t="s">
        <v>86</v>
      </c>
      <c r="B184" t="s">
        <v>87</v>
      </c>
      <c r="C184" t="s">
        <v>74</v>
      </c>
      <c r="D184" t="s">
        <v>75</v>
      </c>
      <c r="E184" t="s">
        <v>54</v>
      </c>
      <c r="F184" s="12">
        <v>2800000000000000</v>
      </c>
      <c r="G184" s="12">
        <v>40000000000000</v>
      </c>
      <c r="H184" s="12">
        <v>4271438519648200</v>
      </c>
      <c r="I184" s="12" t="s">
        <v>88</v>
      </c>
      <c r="J184" s="12" t="s">
        <v>88</v>
      </c>
      <c r="K184" s="12"/>
      <c r="L184" s="13"/>
      <c r="M184" s="5" t="s">
        <v>68</v>
      </c>
      <c r="N184" s="5" t="s">
        <v>45</v>
      </c>
      <c r="O184" s="5" t="s">
        <v>89</v>
      </c>
      <c r="P184" s="5" t="s">
        <v>47</v>
      </c>
      <c r="Q184" s="5" t="s">
        <v>90</v>
      </c>
    </row>
    <row r="185" ht="17" spans="1:17">
      <c r="A185" t="s">
        <v>86</v>
      </c>
      <c r="B185" t="s">
        <v>87</v>
      </c>
      <c r="C185" t="s">
        <v>74</v>
      </c>
      <c r="D185" t="s">
        <v>75</v>
      </c>
      <c r="E185" t="s">
        <v>55</v>
      </c>
      <c r="F185" s="12">
        <v>2800000000000000</v>
      </c>
      <c r="G185" s="12">
        <v>40000000000000</v>
      </c>
      <c r="H185" s="12">
        <v>75193117337265.8</v>
      </c>
      <c r="I185" s="12" t="s">
        <v>88</v>
      </c>
      <c r="J185" s="12" t="s">
        <v>88</v>
      </c>
      <c r="K185" s="12"/>
      <c r="L185" s="13"/>
      <c r="M185" s="5" t="s">
        <v>68</v>
      </c>
      <c r="N185" s="5" t="s">
        <v>45</v>
      </c>
      <c r="O185" s="5" t="s">
        <v>89</v>
      </c>
      <c r="P185" s="5" t="s">
        <v>47</v>
      </c>
      <c r="Q185" s="5" t="s">
        <v>90</v>
      </c>
    </row>
    <row r="186" ht="17" spans="1:17">
      <c r="A186" t="s">
        <v>86</v>
      </c>
      <c r="B186" t="s">
        <v>87</v>
      </c>
      <c r="C186" t="s">
        <v>76</v>
      </c>
      <c r="D186" t="s">
        <v>77</v>
      </c>
      <c r="E186" t="s">
        <v>41</v>
      </c>
      <c r="F186" s="12">
        <v>2800000000000000</v>
      </c>
      <c r="G186" s="12">
        <v>40000000000000</v>
      </c>
      <c r="H186" s="12">
        <v>1491934654078.72</v>
      </c>
      <c r="I186" s="12" t="s">
        <v>88</v>
      </c>
      <c r="J186" s="12" t="s">
        <v>88</v>
      </c>
      <c r="K186" s="12"/>
      <c r="L186" s="13"/>
      <c r="M186" s="5" t="s">
        <v>68</v>
      </c>
      <c r="N186" s="5" t="s">
        <v>45</v>
      </c>
      <c r="O186" s="5" t="s">
        <v>89</v>
      </c>
      <c r="P186" s="5" t="s">
        <v>47</v>
      </c>
      <c r="Q186" s="5" t="s">
        <v>90</v>
      </c>
    </row>
    <row r="187" ht="17" spans="1:17">
      <c r="A187" t="s">
        <v>86</v>
      </c>
      <c r="B187" t="s">
        <v>87</v>
      </c>
      <c r="C187" t="s">
        <v>76</v>
      </c>
      <c r="D187" t="s">
        <v>77</v>
      </c>
      <c r="E187" t="s">
        <v>49</v>
      </c>
      <c r="F187" s="12">
        <v>2800000000000000</v>
      </c>
      <c r="G187" s="12">
        <v>40000000000000</v>
      </c>
      <c r="H187" s="12">
        <v>47141166475792.3</v>
      </c>
      <c r="I187" s="12" t="s">
        <v>88</v>
      </c>
      <c r="J187" s="12" t="s">
        <v>88</v>
      </c>
      <c r="K187" s="12"/>
      <c r="L187" s="13"/>
      <c r="M187" s="5" t="s">
        <v>68</v>
      </c>
      <c r="N187" s="5" t="s">
        <v>45</v>
      </c>
      <c r="O187" s="5" t="s">
        <v>89</v>
      </c>
      <c r="P187" s="5" t="s">
        <v>47</v>
      </c>
      <c r="Q187" s="5" t="s">
        <v>90</v>
      </c>
    </row>
    <row r="188" ht="17" spans="1:17">
      <c r="A188" t="s">
        <v>86</v>
      </c>
      <c r="B188" t="s">
        <v>87</v>
      </c>
      <c r="C188" t="s">
        <v>76</v>
      </c>
      <c r="D188" t="s">
        <v>77</v>
      </c>
      <c r="E188" t="s">
        <v>50</v>
      </c>
      <c r="F188" s="12">
        <v>2800000000000000</v>
      </c>
      <c r="G188" s="12">
        <v>40000000000000</v>
      </c>
      <c r="H188" s="12">
        <v>110040786298361</v>
      </c>
      <c r="I188" s="12" t="s">
        <v>88</v>
      </c>
      <c r="J188" s="12" t="s">
        <v>88</v>
      </c>
      <c r="K188" s="12"/>
      <c r="L188" s="13"/>
      <c r="M188" s="5" t="s">
        <v>68</v>
      </c>
      <c r="N188" s="5" t="s">
        <v>45</v>
      </c>
      <c r="O188" s="5" t="s">
        <v>89</v>
      </c>
      <c r="P188" s="5" t="s">
        <v>47</v>
      </c>
      <c r="Q188" s="5" t="s">
        <v>90</v>
      </c>
    </row>
    <row r="189" ht="17" spans="1:17">
      <c r="A189" t="s">
        <v>86</v>
      </c>
      <c r="B189" t="s">
        <v>87</v>
      </c>
      <c r="C189" t="s">
        <v>76</v>
      </c>
      <c r="D189" t="s">
        <v>77</v>
      </c>
      <c r="E189" t="s">
        <v>51</v>
      </c>
      <c r="F189" s="12">
        <v>2800000000000000</v>
      </c>
      <c r="G189" s="12">
        <v>40000000000000</v>
      </c>
      <c r="H189" s="12">
        <v>2437243624533500</v>
      </c>
      <c r="I189" s="12" t="s">
        <v>88</v>
      </c>
      <c r="J189" s="12" t="s">
        <v>88</v>
      </c>
      <c r="K189" s="12"/>
      <c r="L189" s="13"/>
      <c r="M189" s="5" t="s">
        <v>68</v>
      </c>
      <c r="N189" s="5" t="s">
        <v>45</v>
      </c>
      <c r="O189" s="5" t="s">
        <v>89</v>
      </c>
      <c r="P189" s="5" t="s">
        <v>47</v>
      </c>
      <c r="Q189" s="5" t="s">
        <v>90</v>
      </c>
    </row>
    <row r="190" ht="17" spans="1:17">
      <c r="A190" t="s">
        <v>86</v>
      </c>
      <c r="B190" t="s">
        <v>87</v>
      </c>
      <c r="C190" t="s">
        <v>76</v>
      </c>
      <c r="D190" t="s">
        <v>77</v>
      </c>
      <c r="E190" t="s">
        <v>52</v>
      </c>
      <c r="F190" s="12">
        <v>2800000000000000</v>
      </c>
      <c r="G190" s="12">
        <v>40000000000000</v>
      </c>
      <c r="H190" s="12">
        <v>308306695278452</v>
      </c>
      <c r="I190" s="12" t="s">
        <v>88</v>
      </c>
      <c r="J190" s="12" t="s">
        <v>88</v>
      </c>
      <c r="K190" s="12"/>
      <c r="L190" s="13"/>
      <c r="M190" s="5" t="s">
        <v>68</v>
      </c>
      <c r="N190" s="5" t="s">
        <v>45</v>
      </c>
      <c r="O190" s="5" t="s">
        <v>89</v>
      </c>
      <c r="P190" s="5" t="s">
        <v>47</v>
      </c>
      <c r="Q190" s="5" t="s">
        <v>90</v>
      </c>
    </row>
    <row r="191" ht="17" spans="1:17">
      <c r="A191" t="s">
        <v>86</v>
      </c>
      <c r="B191" t="s">
        <v>87</v>
      </c>
      <c r="C191" t="s">
        <v>76</v>
      </c>
      <c r="D191" t="s">
        <v>77</v>
      </c>
      <c r="E191" t="s">
        <v>53</v>
      </c>
      <c r="F191" s="12">
        <v>2800000000000000</v>
      </c>
      <c r="G191" s="12">
        <v>40000000000000</v>
      </c>
      <c r="H191" s="12">
        <v>1.29769430924656e+17</v>
      </c>
      <c r="I191" s="12" t="s">
        <v>88</v>
      </c>
      <c r="J191" s="12" t="s">
        <v>88</v>
      </c>
      <c r="K191" s="12"/>
      <c r="L191" s="13"/>
      <c r="M191" s="5" t="s">
        <v>68</v>
      </c>
      <c r="N191" s="5" t="s">
        <v>45</v>
      </c>
      <c r="O191" s="5" t="s">
        <v>89</v>
      </c>
      <c r="P191" s="5" t="s">
        <v>47</v>
      </c>
      <c r="Q191" s="5" t="s">
        <v>90</v>
      </c>
    </row>
    <row r="192" ht="17" spans="1:17">
      <c r="A192" t="s">
        <v>86</v>
      </c>
      <c r="B192" t="s">
        <v>87</v>
      </c>
      <c r="C192" t="s">
        <v>76</v>
      </c>
      <c r="D192" t="s">
        <v>77</v>
      </c>
      <c r="E192" t="s">
        <v>54</v>
      </c>
      <c r="F192" s="12">
        <v>2800000000000000</v>
      </c>
      <c r="G192" s="12">
        <v>40000000000000</v>
      </c>
      <c r="H192" s="12">
        <v>2800196662829090</v>
      </c>
      <c r="I192" s="12" t="s">
        <v>88</v>
      </c>
      <c r="J192" s="12" t="s">
        <v>88</v>
      </c>
      <c r="K192" s="12"/>
      <c r="L192" s="13"/>
      <c r="M192" s="5" t="s">
        <v>68</v>
      </c>
      <c r="N192" s="5" t="s">
        <v>45</v>
      </c>
      <c r="O192" s="5" t="s">
        <v>89</v>
      </c>
      <c r="P192" s="5" t="s">
        <v>47</v>
      </c>
      <c r="Q192" s="5" t="s">
        <v>90</v>
      </c>
    </row>
    <row r="193" ht="17" spans="1:17">
      <c r="A193" t="s">
        <v>86</v>
      </c>
      <c r="B193" t="s">
        <v>87</v>
      </c>
      <c r="C193" t="s">
        <v>76</v>
      </c>
      <c r="D193" t="s">
        <v>77</v>
      </c>
      <c r="E193" t="s">
        <v>55</v>
      </c>
      <c r="F193" s="12">
        <v>2800000000000000</v>
      </c>
      <c r="G193" s="12">
        <v>40000000000000</v>
      </c>
      <c r="H193" s="12">
        <v>61012376504073.9</v>
      </c>
      <c r="I193" s="12" t="s">
        <v>88</v>
      </c>
      <c r="J193" s="12" t="s">
        <v>88</v>
      </c>
      <c r="K193" s="12"/>
      <c r="L193" s="13"/>
      <c r="M193" s="5" t="s">
        <v>68</v>
      </c>
      <c r="N193" s="5" t="s">
        <v>45</v>
      </c>
      <c r="O193" s="5" t="s">
        <v>89</v>
      </c>
      <c r="P193" s="5" t="s">
        <v>47</v>
      </c>
      <c r="Q193" s="5" t="s">
        <v>90</v>
      </c>
    </row>
    <row r="194" ht="34" spans="1:17">
      <c r="A194" t="s">
        <v>92</v>
      </c>
      <c r="B194" t="s">
        <v>93</v>
      </c>
      <c r="C194" t="s">
        <v>39</v>
      </c>
      <c r="D194" t="s">
        <v>40</v>
      </c>
      <c r="E194" t="s">
        <v>41</v>
      </c>
      <c r="F194" s="12">
        <v>2800000000000000</v>
      </c>
      <c r="G194" s="12">
        <v>40000000000000</v>
      </c>
      <c r="H194" s="12">
        <v>8229714845547250</v>
      </c>
      <c r="I194" s="12" t="s">
        <v>80</v>
      </c>
      <c r="J194" s="12" t="s">
        <v>81</v>
      </c>
      <c r="K194" s="12">
        <v>272131222529826</v>
      </c>
      <c r="L194" s="13">
        <v>0.0330669078621922</v>
      </c>
      <c r="M194" s="5" t="s">
        <v>94</v>
      </c>
      <c r="N194" s="5" t="s">
        <v>45</v>
      </c>
      <c r="O194" s="5" t="s">
        <v>95</v>
      </c>
      <c r="P194" s="5" t="s">
        <v>96</v>
      </c>
      <c r="Q194" s="5" t="s">
        <v>83</v>
      </c>
    </row>
    <row r="195" ht="34" spans="1:17">
      <c r="A195" t="s">
        <v>92</v>
      </c>
      <c r="B195" t="s">
        <v>93</v>
      </c>
      <c r="C195" t="s">
        <v>39</v>
      </c>
      <c r="D195" t="s">
        <v>40</v>
      </c>
      <c r="E195" t="s">
        <v>49</v>
      </c>
      <c r="F195" s="12">
        <v>2800000000000000</v>
      </c>
      <c r="G195" s="12">
        <v>40000000000000</v>
      </c>
      <c r="H195" s="12">
        <v>61645845403436.3</v>
      </c>
      <c r="I195" s="12" t="s">
        <v>80</v>
      </c>
      <c r="J195" s="12" t="s">
        <v>81</v>
      </c>
      <c r="K195" s="12">
        <v>7019368164803.17</v>
      </c>
      <c r="L195" s="13">
        <v>0.113866037830538</v>
      </c>
      <c r="M195" s="5" t="s">
        <v>94</v>
      </c>
      <c r="N195" s="5" t="s">
        <v>45</v>
      </c>
      <c r="O195" s="5" t="s">
        <v>95</v>
      </c>
      <c r="P195" s="5" t="s">
        <v>96</v>
      </c>
      <c r="Q195" s="5" t="s">
        <v>83</v>
      </c>
    </row>
    <row r="196" ht="34" spans="1:17">
      <c r="A196" t="s">
        <v>92</v>
      </c>
      <c r="B196" t="s">
        <v>93</v>
      </c>
      <c r="C196" t="s">
        <v>39</v>
      </c>
      <c r="D196" t="s">
        <v>40</v>
      </c>
      <c r="E196" t="s">
        <v>50</v>
      </c>
      <c r="F196" s="12">
        <v>2800000000000000</v>
      </c>
      <c r="G196" s="12">
        <v>40000000000000</v>
      </c>
      <c r="H196" s="12">
        <v>159290906205051</v>
      </c>
      <c r="I196" s="12" t="s">
        <v>80</v>
      </c>
      <c r="J196" s="12" t="s">
        <v>81</v>
      </c>
      <c r="K196" s="12">
        <v>11834755119680.5</v>
      </c>
      <c r="L196" s="13">
        <v>0.0742964893704976</v>
      </c>
      <c r="M196" s="5" t="s">
        <v>94</v>
      </c>
      <c r="N196" s="5" t="s">
        <v>45</v>
      </c>
      <c r="O196" s="5" t="s">
        <v>95</v>
      </c>
      <c r="P196" s="5" t="s">
        <v>96</v>
      </c>
      <c r="Q196" s="5" t="s">
        <v>83</v>
      </c>
    </row>
    <row r="197" ht="34" spans="1:17">
      <c r="A197" t="s">
        <v>92</v>
      </c>
      <c r="B197" t="s">
        <v>93</v>
      </c>
      <c r="C197" t="s">
        <v>39</v>
      </c>
      <c r="D197" t="s">
        <v>40</v>
      </c>
      <c r="E197" t="s">
        <v>51</v>
      </c>
      <c r="F197" s="12">
        <v>2800000000000000</v>
      </c>
      <c r="G197" s="12">
        <v>40000000000000</v>
      </c>
      <c r="H197" s="12">
        <v>824871431611991</v>
      </c>
      <c r="I197" s="12" t="s">
        <v>80</v>
      </c>
      <c r="J197" s="12" t="s">
        <v>81</v>
      </c>
      <c r="K197" s="12">
        <v>83774253241458.9</v>
      </c>
      <c r="L197" s="13">
        <v>0.101560376600441</v>
      </c>
      <c r="M197" s="5" t="s">
        <v>94</v>
      </c>
      <c r="N197" s="5" t="s">
        <v>45</v>
      </c>
      <c r="O197" s="5" t="s">
        <v>95</v>
      </c>
      <c r="P197" s="5" t="s">
        <v>96</v>
      </c>
      <c r="Q197" s="5" t="s">
        <v>83</v>
      </c>
    </row>
    <row r="198" ht="34" spans="1:17">
      <c r="A198" t="s">
        <v>92</v>
      </c>
      <c r="B198" t="s">
        <v>93</v>
      </c>
      <c r="C198" t="s">
        <v>39</v>
      </c>
      <c r="D198" t="s">
        <v>40</v>
      </c>
      <c r="E198" t="s">
        <v>52</v>
      </c>
      <c r="F198" s="12">
        <v>2800000000000000</v>
      </c>
      <c r="G198" s="12">
        <v>40000000000000</v>
      </c>
      <c r="H198" s="12">
        <v>737694365687204</v>
      </c>
      <c r="I198" s="12" t="s">
        <v>80</v>
      </c>
      <c r="J198" s="12" t="s">
        <v>81</v>
      </c>
      <c r="K198" s="12">
        <v>35656383326748.4</v>
      </c>
      <c r="L198" s="13">
        <v>0.0483348999060504</v>
      </c>
      <c r="M198" s="5" t="s">
        <v>94</v>
      </c>
      <c r="N198" s="5" t="s">
        <v>45</v>
      </c>
      <c r="O198" s="5" t="s">
        <v>95</v>
      </c>
      <c r="P198" s="5" t="s">
        <v>96</v>
      </c>
      <c r="Q198" s="5" t="s">
        <v>83</v>
      </c>
    </row>
    <row r="199" ht="34" spans="1:17">
      <c r="A199" t="s">
        <v>92</v>
      </c>
      <c r="B199" t="s">
        <v>93</v>
      </c>
      <c r="C199" t="s">
        <v>39</v>
      </c>
      <c r="D199" t="s">
        <v>40</v>
      </c>
      <c r="E199" t="s">
        <v>53</v>
      </c>
      <c r="F199" s="12">
        <v>2800000000000000</v>
      </c>
      <c r="G199" s="12">
        <v>40000000000000</v>
      </c>
      <c r="H199" s="12">
        <v>1876706769242710</v>
      </c>
      <c r="I199" s="12" t="s">
        <v>80</v>
      </c>
      <c r="J199" s="12" t="s">
        <v>81</v>
      </c>
      <c r="K199" s="12">
        <v>244451335930546</v>
      </c>
      <c r="L199" s="13">
        <v>0.130255477273728</v>
      </c>
      <c r="M199" s="5" t="s">
        <v>94</v>
      </c>
      <c r="N199" s="5" t="s">
        <v>45</v>
      </c>
      <c r="O199" s="5" t="s">
        <v>95</v>
      </c>
      <c r="P199" s="5" t="s">
        <v>96</v>
      </c>
      <c r="Q199" s="5" t="s">
        <v>83</v>
      </c>
    </row>
    <row r="200" ht="34" spans="1:17">
      <c r="A200" t="s">
        <v>92</v>
      </c>
      <c r="B200" t="s">
        <v>93</v>
      </c>
      <c r="C200" t="s">
        <v>39</v>
      </c>
      <c r="D200" t="s">
        <v>40</v>
      </c>
      <c r="E200" t="s">
        <v>54</v>
      </c>
      <c r="F200" s="12">
        <v>2800000000000000</v>
      </c>
      <c r="G200" s="12">
        <v>40000000000000</v>
      </c>
      <c r="H200" s="12">
        <v>3342127630224470</v>
      </c>
      <c r="I200" s="12" t="s">
        <v>80</v>
      </c>
      <c r="J200" s="12" t="s">
        <v>81</v>
      </c>
      <c r="K200" s="12">
        <v>301949841737871</v>
      </c>
      <c r="L200" s="13">
        <v>0.090346592095165</v>
      </c>
      <c r="M200" s="5" t="s">
        <v>94</v>
      </c>
      <c r="N200" s="5" t="s">
        <v>45</v>
      </c>
      <c r="O200" s="5" t="s">
        <v>95</v>
      </c>
      <c r="P200" s="5" t="s">
        <v>96</v>
      </c>
      <c r="Q200" s="5" t="s">
        <v>83</v>
      </c>
    </row>
    <row r="201" ht="34" spans="1:17">
      <c r="A201" t="s">
        <v>92</v>
      </c>
      <c r="B201" t="s">
        <v>93</v>
      </c>
      <c r="C201" t="s">
        <v>39</v>
      </c>
      <c r="D201" t="s">
        <v>40</v>
      </c>
      <c r="E201" t="s">
        <v>55</v>
      </c>
      <c r="F201" s="12">
        <v>2800000000000000</v>
      </c>
      <c r="G201" s="12">
        <v>40000000000000</v>
      </c>
      <c r="H201" s="12">
        <v>150394575451045</v>
      </c>
      <c r="I201" s="12" t="s">
        <v>80</v>
      </c>
      <c r="J201" s="12" t="s">
        <v>81</v>
      </c>
      <c r="K201" s="12">
        <v>7289689917888.43</v>
      </c>
      <c r="L201" s="13">
        <v>0.0484704311709785</v>
      </c>
      <c r="M201" s="5" t="s">
        <v>94</v>
      </c>
      <c r="N201" s="5" t="s">
        <v>45</v>
      </c>
      <c r="O201" s="5" t="s">
        <v>95</v>
      </c>
      <c r="P201" s="5" t="s">
        <v>96</v>
      </c>
      <c r="Q201" s="5" t="s">
        <v>83</v>
      </c>
    </row>
    <row r="202" ht="34" spans="1:17">
      <c r="A202" t="s">
        <v>92</v>
      </c>
      <c r="B202" t="s">
        <v>93</v>
      </c>
      <c r="C202" t="s">
        <v>56</v>
      </c>
      <c r="D202" t="s">
        <v>57</v>
      </c>
      <c r="E202" t="s">
        <v>41</v>
      </c>
      <c r="F202" s="12">
        <v>2800000000000000</v>
      </c>
      <c r="G202" s="12">
        <v>40000000000000</v>
      </c>
      <c r="H202" s="12">
        <v>8192003721158550</v>
      </c>
      <c r="I202" s="12" t="s">
        <v>80</v>
      </c>
      <c r="J202" s="12" t="s">
        <v>81</v>
      </c>
      <c r="K202" s="12">
        <v>272131222529826</v>
      </c>
      <c r="L202" s="13">
        <v>0.0332191282856668</v>
      </c>
      <c r="M202" s="5" t="s">
        <v>94</v>
      </c>
      <c r="N202" s="5" t="s">
        <v>45</v>
      </c>
      <c r="O202" s="5" t="s">
        <v>95</v>
      </c>
      <c r="P202" s="5" t="s">
        <v>96</v>
      </c>
      <c r="Q202" s="5" t="s">
        <v>83</v>
      </c>
    </row>
    <row r="203" ht="34" spans="1:17">
      <c r="A203" t="s">
        <v>92</v>
      </c>
      <c r="B203" t="s">
        <v>93</v>
      </c>
      <c r="C203" t="s">
        <v>56</v>
      </c>
      <c r="D203" t="s">
        <v>57</v>
      </c>
      <c r="E203" t="s">
        <v>49</v>
      </c>
      <c r="F203" s="12">
        <v>2800000000000000</v>
      </c>
      <c r="G203" s="12">
        <v>40000000000000</v>
      </c>
      <c r="H203" s="12">
        <v>55451282264108</v>
      </c>
      <c r="I203" s="12" t="s">
        <v>80</v>
      </c>
      <c r="J203" s="12" t="s">
        <v>81</v>
      </c>
      <c r="K203" s="12">
        <v>7019368164803.17</v>
      </c>
      <c r="L203" s="13">
        <v>0.126586219077329</v>
      </c>
      <c r="M203" s="5" t="s">
        <v>94</v>
      </c>
      <c r="N203" s="5" t="s">
        <v>45</v>
      </c>
      <c r="O203" s="5" t="s">
        <v>95</v>
      </c>
      <c r="P203" s="5" t="s">
        <v>96</v>
      </c>
      <c r="Q203" s="5" t="s">
        <v>83</v>
      </c>
    </row>
    <row r="204" ht="34" spans="1:17">
      <c r="A204" t="s">
        <v>92</v>
      </c>
      <c r="B204" t="s">
        <v>93</v>
      </c>
      <c r="C204" t="s">
        <v>56</v>
      </c>
      <c r="D204" t="s">
        <v>57</v>
      </c>
      <c r="E204" t="s">
        <v>50</v>
      </c>
      <c r="F204" s="12">
        <v>2800000000000000</v>
      </c>
      <c r="G204" s="12">
        <v>40000000000000</v>
      </c>
      <c r="H204" s="12">
        <v>165239190792224</v>
      </c>
      <c r="I204" s="12" t="s">
        <v>80</v>
      </c>
      <c r="J204" s="12" t="s">
        <v>81</v>
      </c>
      <c r="K204" s="12">
        <v>11834755119680.5</v>
      </c>
      <c r="L204" s="13">
        <v>0.0716219624590258</v>
      </c>
      <c r="M204" s="5" t="s">
        <v>94</v>
      </c>
      <c r="N204" s="5" t="s">
        <v>45</v>
      </c>
      <c r="O204" s="5" t="s">
        <v>95</v>
      </c>
      <c r="P204" s="5" t="s">
        <v>96</v>
      </c>
      <c r="Q204" s="5" t="s">
        <v>83</v>
      </c>
    </row>
    <row r="205" ht="34" spans="1:17">
      <c r="A205" t="s">
        <v>92</v>
      </c>
      <c r="B205" t="s">
        <v>93</v>
      </c>
      <c r="C205" t="s">
        <v>56</v>
      </c>
      <c r="D205" t="s">
        <v>57</v>
      </c>
      <c r="E205" t="s">
        <v>51</v>
      </c>
      <c r="F205" s="12">
        <v>2800000000000000</v>
      </c>
      <c r="G205" s="12">
        <v>40000000000000</v>
      </c>
      <c r="H205" s="12">
        <v>1303168106542860</v>
      </c>
      <c r="I205" s="12" t="s">
        <v>80</v>
      </c>
      <c r="J205" s="12" t="s">
        <v>81</v>
      </c>
      <c r="K205" s="12">
        <v>83774253241458.9</v>
      </c>
      <c r="L205" s="13">
        <v>0.0642850702229827</v>
      </c>
      <c r="M205" s="5" t="s">
        <v>94</v>
      </c>
      <c r="N205" s="5" t="s">
        <v>45</v>
      </c>
      <c r="O205" s="5" t="s">
        <v>95</v>
      </c>
      <c r="P205" s="5" t="s">
        <v>96</v>
      </c>
      <c r="Q205" s="5" t="s">
        <v>83</v>
      </c>
    </row>
    <row r="206" ht="34" spans="1:17">
      <c r="A206" t="s">
        <v>92</v>
      </c>
      <c r="B206" t="s">
        <v>93</v>
      </c>
      <c r="C206" t="s">
        <v>56</v>
      </c>
      <c r="D206" t="s">
        <v>57</v>
      </c>
      <c r="E206" t="s">
        <v>52</v>
      </c>
      <c r="F206" s="12">
        <v>2800000000000000</v>
      </c>
      <c r="G206" s="12">
        <v>40000000000000</v>
      </c>
      <c r="H206" s="12">
        <v>1405878310949590</v>
      </c>
      <c r="I206" s="12" t="s">
        <v>80</v>
      </c>
      <c r="J206" s="12" t="s">
        <v>81</v>
      </c>
      <c r="K206" s="12">
        <v>35656383326748.4</v>
      </c>
      <c r="L206" s="13">
        <v>0.0253623539456019</v>
      </c>
      <c r="M206" s="5" t="s">
        <v>94</v>
      </c>
      <c r="N206" s="5" t="s">
        <v>45</v>
      </c>
      <c r="O206" s="5" t="s">
        <v>95</v>
      </c>
      <c r="P206" s="5" t="s">
        <v>96</v>
      </c>
      <c r="Q206" s="5" t="s">
        <v>83</v>
      </c>
    </row>
    <row r="207" ht="34" spans="1:17">
      <c r="A207" t="s">
        <v>92</v>
      </c>
      <c r="B207" t="s">
        <v>93</v>
      </c>
      <c r="C207" t="s">
        <v>56</v>
      </c>
      <c r="D207" t="s">
        <v>57</v>
      </c>
      <c r="E207" t="s">
        <v>53</v>
      </c>
      <c r="F207" s="12">
        <v>2800000000000000</v>
      </c>
      <c r="G207" s="12">
        <v>40000000000000</v>
      </c>
      <c r="H207" s="12">
        <v>1854943680835240</v>
      </c>
      <c r="I207" s="12" t="s">
        <v>80</v>
      </c>
      <c r="J207" s="12" t="s">
        <v>81</v>
      </c>
      <c r="K207" s="12">
        <v>244451335930546</v>
      </c>
      <c r="L207" s="13">
        <v>0.131783696969427</v>
      </c>
      <c r="M207" s="5" t="s">
        <v>94</v>
      </c>
      <c r="N207" s="5" t="s">
        <v>45</v>
      </c>
      <c r="O207" s="5" t="s">
        <v>95</v>
      </c>
      <c r="P207" s="5" t="s">
        <v>96</v>
      </c>
      <c r="Q207" s="5" t="s">
        <v>83</v>
      </c>
    </row>
    <row r="208" ht="34" spans="1:17">
      <c r="A208" t="s">
        <v>92</v>
      </c>
      <c r="B208" t="s">
        <v>93</v>
      </c>
      <c r="C208" t="s">
        <v>56</v>
      </c>
      <c r="D208" t="s">
        <v>57</v>
      </c>
      <c r="E208" t="s">
        <v>54</v>
      </c>
      <c r="F208" s="12">
        <v>2800000000000000</v>
      </c>
      <c r="G208" s="12">
        <v>40000000000000</v>
      </c>
      <c r="H208" s="12">
        <v>3999493223333370</v>
      </c>
      <c r="I208" s="12" t="s">
        <v>80</v>
      </c>
      <c r="J208" s="12" t="s">
        <v>81</v>
      </c>
      <c r="K208" s="12">
        <v>301949841737871</v>
      </c>
      <c r="L208" s="13">
        <v>0.0754970254671945</v>
      </c>
      <c r="M208" s="5" t="s">
        <v>94</v>
      </c>
      <c r="N208" s="5" t="s">
        <v>45</v>
      </c>
      <c r="O208" s="5" t="s">
        <v>95</v>
      </c>
      <c r="P208" s="5" t="s">
        <v>96</v>
      </c>
      <c r="Q208" s="5" t="s">
        <v>83</v>
      </c>
    </row>
    <row r="209" ht="34" spans="1:17">
      <c r="A209" t="s">
        <v>92</v>
      </c>
      <c r="B209" t="s">
        <v>93</v>
      </c>
      <c r="C209" t="s">
        <v>56</v>
      </c>
      <c r="D209" t="s">
        <v>57</v>
      </c>
      <c r="E209" t="s">
        <v>55</v>
      </c>
      <c r="F209" s="12">
        <v>2800000000000000</v>
      </c>
      <c r="G209" s="12">
        <v>40000000000000</v>
      </c>
      <c r="H209" s="12">
        <v>155298601124648</v>
      </c>
      <c r="I209" s="12" t="s">
        <v>80</v>
      </c>
      <c r="J209" s="12" t="s">
        <v>81</v>
      </c>
      <c r="K209" s="12">
        <v>7289689917888.43</v>
      </c>
      <c r="L209" s="13">
        <v>0.0469398298831904</v>
      </c>
      <c r="M209" s="5" t="s">
        <v>94</v>
      </c>
      <c r="N209" s="5" t="s">
        <v>45</v>
      </c>
      <c r="O209" s="5" t="s">
        <v>95</v>
      </c>
      <c r="P209" s="5" t="s">
        <v>96</v>
      </c>
      <c r="Q209" s="5" t="s">
        <v>83</v>
      </c>
    </row>
    <row r="210" ht="34" spans="1:17">
      <c r="A210" t="s">
        <v>92</v>
      </c>
      <c r="B210" t="s">
        <v>93</v>
      </c>
      <c r="C210" t="s">
        <v>58</v>
      </c>
      <c r="D210" t="s">
        <v>59</v>
      </c>
      <c r="E210" t="s">
        <v>41</v>
      </c>
      <c r="F210" s="12">
        <v>2800000000000000</v>
      </c>
      <c r="G210" s="12">
        <v>40000000000000</v>
      </c>
      <c r="H210" s="12">
        <v>8270022496870250</v>
      </c>
      <c r="I210" s="12" t="s">
        <v>80</v>
      </c>
      <c r="J210" s="12" t="s">
        <v>81</v>
      </c>
      <c r="K210" s="12">
        <v>272131222529826</v>
      </c>
      <c r="L210" s="13">
        <v>0.0329057415058801</v>
      </c>
      <c r="M210" s="5" t="s">
        <v>94</v>
      </c>
      <c r="N210" s="5" t="s">
        <v>45</v>
      </c>
      <c r="O210" s="5" t="s">
        <v>95</v>
      </c>
      <c r="P210" s="5" t="s">
        <v>96</v>
      </c>
      <c r="Q210" s="5" t="s">
        <v>83</v>
      </c>
    </row>
    <row r="211" ht="34" spans="1:17">
      <c r="A211" t="s">
        <v>92</v>
      </c>
      <c r="B211" t="s">
        <v>93</v>
      </c>
      <c r="C211" t="s">
        <v>58</v>
      </c>
      <c r="D211" t="s">
        <v>59</v>
      </c>
      <c r="E211" t="s">
        <v>49</v>
      </c>
      <c r="F211" s="12">
        <v>2800000000000000</v>
      </c>
      <c r="G211" s="12">
        <v>40000000000000</v>
      </c>
      <c r="H211" s="12">
        <v>125403778462987</v>
      </c>
      <c r="I211" s="12" t="s">
        <v>80</v>
      </c>
      <c r="J211" s="12" t="s">
        <v>81</v>
      </c>
      <c r="K211" s="12">
        <v>7019368164803.17</v>
      </c>
      <c r="L211" s="13">
        <v>0.0559741361132504</v>
      </c>
      <c r="M211" s="5" t="s">
        <v>94</v>
      </c>
      <c r="N211" s="5" t="s">
        <v>45</v>
      </c>
      <c r="O211" s="5" t="s">
        <v>95</v>
      </c>
      <c r="P211" s="5" t="s">
        <v>96</v>
      </c>
      <c r="Q211" s="5" t="s">
        <v>83</v>
      </c>
    </row>
    <row r="212" ht="34" spans="1:17">
      <c r="A212" t="s">
        <v>92</v>
      </c>
      <c r="B212" t="s">
        <v>93</v>
      </c>
      <c r="C212" t="s">
        <v>58</v>
      </c>
      <c r="D212" t="s">
        <v>59</v>
      </c>
      <c r="E212" t="s">
        <v>50</v>
      </c>
      <c r="F212" s="12">
        <v>2800000000000000</v>
      </c>
      <c r="G212" s="12">
        <v>40000000000000</v>
      </c>
      <c r="H212" s="12">
        <v>252372626836819</v>
      </c>
      <c r="I212" s="12" t="s">
        <v>80</v>
      </c>
      <c r="J212" s="12" t="s">
        <v>81</v>
      </c>
      <c r="K212" s="12">
        <v>11834755119680.5</v>
      </c>
      <c r="L212" s="13">
        <v>0.0468939728845183</v>
      </c>
      <c r="M212" s="5" t="s">
        <v>94</v>
      </c>
      <c r="N212" s="5" t="s">
        <v>45</v>
      </c>
      <c r="O212" s="5" t="s">
        <v>95</v>
      </c>
      <c r="P212" s="5" t="s">
        <v>96</v>
      </c>
      <c r="Q212" s="5" t="s">
        <v>83</v>
      </c>
    </row>
    <row r="213" ht="34" spans="1:17">
      <c r="A213" t="s">
        <v>92</v>
      </c>
      <c r="B213" t="s">
        <v>93</v>
      </c>
      <c r="C213" t="s">
        <v>58</v>
      </c>
      <c r="D213" t="s">
        <v>59</v>
      </c>
      <c r="E213" t="s">
        <v>51</v>
      </c>
      <c r="F213" s="12">
        <v>2800000000000000</v>
      </c>
      <c r="G213" s="12">
        <v>40000000000000</v>
      </c>
      <c r="H213" s="12">
        <v>3353071321252180</v>
      </c>
      <c r="I213" s="12" t="s">
        <v>80</v>
      </c>
      <c r="J213" s="12" t="s">
        <v>81</v>
      </c>
      <c r="K213" s="12">
        <v>83774253241458.9</v>
      </c>
      <c r="L213" s="13">
        <v>0.0249843338286566</v>
      </c>
      <c r="M213" s="5" t="s">
        <v>94</v>
      </c>
      <c r="N213" s="5" t="s">
        <v>45</v>
      </c>
      <c r="O213" s="5" t="s">
        <v>95</v>
      </c>
      <c r="P213" s="5" t="s">
        <v>96</v>
      </c>
      <c r="Q213" s="5" t="s">
        <v>83</v>
      </c>
    </row>
    <row r="214" ht="34" spans="1:17">
      <c r="A214" t="s">
        <v>92</v>
      </c>
      <c r="B214" t="s">
        <v>93</v>
      </c>
      <c r="C214" t="s">
        <v>58</v>
      </c>
      <c r="D214" t="s">
        <v>59</v>
      </c>
      <c r="E214" t="s">
        <v>52</v>
      </c>
      <c r="F214" s="12">
        <v>2800000000000000</v>
      </c>
      <c r="G214" s="12">
        <v>40000000000000</v>
      </c>
      <c r="H214" s="12">
        <v>611693121828450</v>
      </c>
      <c r="I214" s="12" t="s">
        <v>80</v>
      </c>
      <c r="J214" s="12" t="s">
        <v>81</v>
      </c>
      <c r="K214" s="12">
        <v>35656383326748.4</v>
      </c>
      <c r="L214" s="13">
        <v>0.0582912935495591</v>
      </c>
      <c r="M214" s="5" t="s">
        <v>94</v>
      </c>
      <c r="N214" s="5" t="s">
        <v>45</v>
      </c>
      <c r="O214" s="5" t="s">
        <v>95</v>
      </c>
      <c r="P214" s="5" t="s">
        <v>96</v>
      </c>
      <c r="Q214" s="5" t="s">
        <v>83</v>
      </c>
    </row>
    <row r="215" ht="34" spans="1:17">
      <c r="A215" t="s">
        <v>92</v>
      </c>
      <c r="B215" t="s">
        <v>93</v>
      </c>
      <c r="C215" t="s">
        <v>58</v>
      </c>
      <c r="D215" t="s">
        <v>59</v>
      </c>
      <c r="E215" t="s">
        <v>53</v>
      </c>
      <c r="F215" s="12">
        <v>2800000000000000</v>
      </c>
      <c r="G215" s="12">
        <v>40000000000000</v>
      </c>
      <c r="H215" s="12">
        <v>5404159753657880</v>
      </c>
      <c r="I215" s="12" t="s">
        <v>80</v>
      </c>
      <c r="J215" s="12" t="s">
        <v>81</v>
      </c>
      <c r="K215" s="12">
        <v>244451335930546</v>
      </c>
      <c r="L215" s="13">
        <v>0.045233921104032</v>
      </c>
      <c r="M215" s="5" t="s">
        <v>94</v>
      </c>
      <c r="N215" s="5" t="s">
        <v>45</v>
      </c>
      <c r="O215" s="5" t="s">
        <v>95</v>
      </c>
      <c r="P215" s="5" t="s">
        <v>96</v>
      </c>
      <c r="Q215" s="5" t="s">
        <v>83</v>
      </c>
    </row>
    <row r="216" ht="34" spans="1:17">
      <c r="A216" t="s">
        <v>92</v>
      </c>
      <c r="B216" t="s">
        <v>93</v>
      </c>
      <c r="C216" t="s">
        <v>58</v>
      </c>
      <c r="D216" t="s">
        <v>59</v>
      </c>
      <c r="E216" t="s">
        <v>54</v>
      </c>
      <c r="F216" s="12">
        <v>2800000000000000</v>
      </c>
      <c r="G216" s="12">
        <v>40000000000000</v>
      </c>
      <c r="H216" s="12">
        <v>6421452497337160</v>
      </c>
      <c r="I216" s="12" t="s">
        <v>80</v>
      </c>
      <c r="J216" s="12" t="s">
        <v>81</v>
      </c>
      <c r="K216" s="12">
        <v>301949841737871</v>
      </c>
      <c r="L216" s="13">
        <v>0.0470220470934081</v>
      </c>
      <c r="M216" s="5" t="s">
        <v>94</v>
      </c>
      <c r="N216" s="5" t="s">
        <v>45</v>
      </c>
      <c r="O216" s="5" t="s">
        <v>95</v>
      </c>
      <c r="P216" s="5" t="s">
        <v>96</v>
      </c>
      <c r="Q216" s="5" t="s">
        <v>83</v>
      </c>
    </row>
    <row r="217" ht="34" spans="1:17">
      <c r="A217" t="s">
        <v>92</v>
      </c>
      <c r="B217" t="s">
        <v>93</v>
      </c>
      <c r="C217" t="s">
        <v>58</v>
      </c>
      <c r="D217" t="s">
        <v>59</v>
      </c>
      <c r="E217" t="s">
        <v>55</v>
      </c>
      <c r="F217" s="12">
        <v>2800000000000000</v>
      </c>
      <c r="G217" s="12">
        <v>40000000000000</v>
      </c>
      <c r="H217" s="12">
        <v>137048417483837</v>
      </c>
      <c r="I217" s="12" t="s">
        <v>80</v>
      </c>
      <c r="J217" s="12" t="s">
        <v>81</v>
      </c>
      <c r="K217" s="12">
        <v>7289689917888.43</v>
      </c>
      <c r="L217" s="13">
        <v>0.0531906172411522</v>
      </c>
      <c r="M217" s="5" t="s">
        <v>94</v>
      </c>
      <c r="N217" s="5" t="s">
        <v>45</v>
      </c>
      <c r="O217" s="5" t="s">
        <v>95</v>
      </c>
      <c r="P217" s="5" t="s">
        <v>96</v>
      </c>
      <c r="Q217" s="5" t="s">
        <v>83</v>
      </c>
    </row>
    <row r="218" ht="34" spans="1:17">
      <c r="A218" t="s">
        <v>92</v>
      </c>
      <c r="B218" t="s">
        <v>93</v>
      </c>
      <c r="C218" t="s">
        <v>60</v>
      </c>
      <c r="D218" t="s">
        <v>61</v>
      </c>
      <c r="E218" t="s">
        <v>41</v>
      </c>
      <c r="F218" s="12">
        <v>2800000000000000</v>
      </c>
      <c r="G218" s="12">
        <v>40000000000000</v>
      </c>
      <c r="H218" s="12">
        <v>7408742939283350</v>
      </c>
      <c r="I218" s="12" t="s">
        <v>80</v>
      </c>
      <c r="J218" s="12" t="s">
        <v>81</v>
      </c>
      <c r="K218" s="12">
        <v>272131222529826</v>
      </c>
      <c r="L218" s="13">
        <v>0.036731092542961</v>
      </c>
      <c r="M218" s="5" t="s">
        <v>94</v>
      </c>
      <c r="N218" s="5" t="s">
        <v>45</v>
      </c>
      <c r="O218" s="5" t="s">
        <v>95</v>
      </c>
      <c r="P218" s="5" t="s">
        <v>96</v>
      </c>
      <c r="Q218" s="5" t="s">
        <v>83</v>
      </c>
    </row>
    <row r="219" ht="34" spans="1:17">
      <c r="A219" t="s">
        <v>92</v>
      </c>
      <c r="B219" t="s">
        <v>93</v>
      </c>
      <c r="C219" t="s">
        <v>60</v>
      </c>
      <c r="D219" t="s">
        <v>61</v>
      </c>
      <c r="E219" t="s">
        <v>49</v>
      </c>
      <c r="F219" s="12">
        <v>2800000000000000</v>
      </c>
      <c r="G219" s="12">
        <v>40000000000000</v>
      </c>
      <c r="H219" s="12">
        <v>162865832718135</v>
      </c>
      <c r="I219" s="12" t="s">
        <v>80</v>
      </c>
      <c r="J219" s="12" t="s">
        <v>81</v>
      </c>
      <c r="K219" s="12">
        <v>7019368164803.17</v>
      </c>
      <c r="L219" s="13">
        <v>0.0430990837528906</v>
      </c>
      <c r="M219" s="5" t="s">
        <v>94</v>
      </c>
      <c r="N219" s="5" t="s">
        <v>45</v>
      </c>
      <c r="O219" s="5" t="s">
        <v>95</v>
      </c>
      <c r="P219" s="5" t="s">
        <v>96</v>
      </c>
      <c r="Q219" s="5" t="s">
        <v>83</v>
      </c>
    </row>
    <row r="220" ht="34" spans="1:17">
      <c r="A220" t="s">
        <v>92</v>
      </c>
      <c r="B220" t="s">
        <v>93</v>
      </c>
      <c r="C220" t="s">
        <v>60</v>
      </c>
      <c r="D220" t="s">
        <v>61</v>
      </c>
      <c r="E220" t="s">
        <v>50</v>
      </c>
      <c r="F220" s="12">
        <v>2800000000000000</v>
      </c>
      <c r="G220" s="12">
        <v>40000000000000</v>
      </c>
      <c r="H220" s="12">
        <v>275010673907900</v>
      </c>
      <c r="I220" s="12" t="s">
        <v>80</v>
      </c>
      <c r="J220" s="12" t="s">
        <v>81</v>
      </c>
      <c r="K220" s="12">
        <v>11834755119680.5</v>
      </c>
      <c r="L220" s="13">
        <v>0.0430338028393905</v>
      </c>
      <c r="M220" s="5" t="s">
        <v>94</v>
      </c>
      <c r="N220" s="5" t="s">
        <v>45</v>
      </c>
      <c r="O220" s="5" t="s">
        <v>95</v>
      </c>
      <c r="P220" s="5" t="s">
        <v>96</v>
      </c>
      <c r="Q220" s="5" t="s">
        <v>83</v>
      </c>
    </row>
    <row r="221" ht="34" spans="1:17">
      <c r="A221" t="s">
        <v>92</v>
      </c>
      <c r="B221" t="s">
        <v>93</v>
      </c>
      <c r="C221" t="s">
        <v>60</v>
      </c>
      <c r="D221" t="s">
        <v>61</v>
      </c>
      <c r="E221" t="s">
        <v>51</v>
      </c>
      <c r="F221" s="12">
        <v>2800000000000000</v>
      </c>
      <c r="G221" s="12">
        <v>40000000000000</v>
      </c>
      <c r="H221" s="12">
        <v>1973782013301380</v>
      </c>
      <c r="I221" s="12" t="s">
        <v>80</v>
      </c>
      <c r="J221" s="12" t="s">
        <v>81</v>
      </c>
      <c r="K221" s="12">
        <v>83774253241458.9</v>
      </c>
      <c r="L221" s="13">
        <v>0.0424435184214374</v>
      </c>
      <c r="M221" s="5" t="s">
        <v>94</v>
      </c>
      <c r="N221" s="5" t="s">
        <v>45</v>
      </c>
      <c r="O221" s="5" t="s">
        <v>95</v>
      </c>
      <c r="P221" s="5" t="s">
        <v>96</v>
      </c>
      <c r="Q221" s="5" t="s">
        <v>83</v>
      </c>
    </row>
    <row r="222" ht="34" spans="1:17">
      <c r="A222" t="s">
        <v>92</v>
      </c>
      <c r="B222" t="s">
        <v>93</v>
      </c>
      <c r="C222" t="s">
        <v>60</v>
      </c>
      <c r="D222" t="s">
        <v>61</v>
      </c>
      <c r="E222" t="s">
        <v>52</v>
      </c>
      <c r="F222" s="12">
        <v>2800000000000000</v>
      </c>
      <c r="G222" s="12">
        <v>40000000000000</v>
      </c>
      <c r="H222" s="12">
        <v>828108337284528</v>
      </c>
      <c r="I222" s="12" t="s">
        <v>80</v>
      </c>
      <c r="J222" s="12" t="s">
        <v>81</v>
      </c>
      <c r="K222" s="12">
        <v>35656383326748.4</v>
      </c>
      <c r="L222" s="13">
        <v>0.0430576311351606</v>
      </c>
      <c r="M222" s="5" t="s">
        <v>94</v>
      </c>
      <c r="N222" s="5" t="s">
        <v>45</v>
      </c>
      <c r="O222" s="5" t="s">
        <v>95</v>
      </c>
      <c r="P222" s="5" t="s">
        <v>96</v>
      </c>
      <c r="Q222" s="5" t="s">
        <v>83</v>
      </c>
    </row>
    <row r="223" ht="34" spans="1:17">
      <c r="A223" t="s">
        <v>92</v>
      </c>
      <c r="B223" t="s">
        <v>93</v>
      </c>
      <c r="C223" t="s">
        <v>60</v>
      </c>
      <c r="D223" t="s">
        <v>61</v>
      </c>
      <c r="E223" t="s">
        <v>53</v>
      </c>
      <c r="F223" s="12">
        <v>2800000000000000</v>
      </c>
      <c r="G223" s="12">
        <v>40000000000000</v>
      </c>
      <c r="H223" s="12">
        <v>5668543646446980</v>
      </c>
      <c r="I223" s="12" t="s">
        <v>80</v>
      </c>
      <c r="J223" s="12" t="s">
        <v>81</v>
      </c>
      <c r="K223" s="12">
        <v>244451335930546</v>
      </c>
      <c r="L223" s="13">
        <v>0.0431241869476945</v>
      </c>
      <c r="M223" s="5" t="s">
        <v>94</v>
      </c>
      <c r="N223" s="5" t="s">
        <v>45</v>
      </c>
      <c r="O223" s="5" t="s">
        <v>95</v>
      </c>
      <c r="P223" s="5" t="s">
        <v>96</v>
      </c>
      <c r="Q223" s="5" t="s">
        <v>83</v>
      </c>
    </row>
    <row r="224" ht="34" spans="1:17">
      <c r="A224" t="s">
        <v>92</v>
      </c>
      <c r="B224" t="s">
        <v>93</v>
      </c>
      <c r="C224" t="s">
        <v>60</v>
      </c>
      <c r="D224" t="s">
        <v>61</v>
      </c>
      <c r="E224" t="s">
        <v>54</v>
      </c>
      <c r="F224" s="12">
        <v>2800000000000000</v>
      </c>
      <c r="G224" s="12">
        <v>40000000000000</v>
      </c>
      <c r="H224" s="12">
        <v>6998931249121220</v>
      </c>
      <c r="I224" s="12" t="s">
        <v>80</v>
      </c>
      <c r="J224" s="12" t="s">
        <v>81</v>
      </c>
      <c r="K224" s="12">
        <v>301949841737871</v>
      </c>
      <c r="L224" s="13">
        <v>0.0431422785837171</v>
      </c>
      <c r="M224" s="5" t="s">
        <v>94</v>
      </c>
      <c r="N224" s="5" t="s">
        <v>45</v>
      </c>
      <c r="O224" s="5" t="s">
        <v>95</v>
      </c>
      <c r="P224" s="5" t="s">
        <v>96</v>
      </c>
      <c r="Q224" s="5" t="s">
        <v>83</v>
      </c>
    </row>
    <row r="225" ht="34" spans="1:17">
      <c r="A225" t="s">
        <v>92</v>
      </c>
      <c r="B225" t="s">
        <v>93</v>
      </c>
      <c r="C225" t="s">
        <v>60</v>
      </c>
      <c r="D225" t="s">
        <v>61</v>
      </c>
      <c r="E225" t="s">
        <v>55</v>
      </c>
      <c r="F225" s="12">
        <v>2800000000000000</v>
      </c>
      <c r="G225" s="12">
        <v>40000000000000</v>
      </c>
      <c r="H225" s="12">
        <v>170588761109761</v>
      </c>
      <c r="I225" s="12" t="s">
        <v>80</v>
      </c>
      <c r="J225" s="12" t="s">
        <v>81</v>
      </c>
      <c r="K225" s="12">
        <v>7289689917888.43</v>
      </c>
      <c r="L225" s="13">
        <v>0.0427325333185232</v>
      </c>
      <c r="M225" s="5" t="s">
        <v>94</v>
      </c>
      <c r="N225" s="5" t="s">
        <v>45</v>
      </c>
      <c r="O225" s="5" t="s">
        <v>95</v>
      </c>
      <c r="P225" s="5" t="s">
        <v>96</v>
      </c>
      <c r="Q225" s="5" t="s">
        <v>83</v>
      </c>
    </row>
    <row r="226" ht="34" spans="1:17">
      <c r="A226" t="s">
        <v>92</v>
      </c>
      <c r="B226" t="s">
        <v>93</v>
      </c>
      <c r="C226" t="s">
        <v>70</v>
      </c>
      <c r="D226" t="s">
        <v>71</v>
      </c>
      <c r="E226" t="s">
        <v>41</v>
      </c>
      <c r="F226" s="12">
        <v>2800000000000000</v>
      </c>
      <c r="G226" s="12">
        <v>40000000000000</v>
      </c>
      <c r="H226" s="12">
        <v>7129110101525670</v>
      </c>
      <c r="I226" s="12" t="s">
        <v>80</v>
      </c>
      <c r="J226" s="12" t="s">
        <v>81</v>
      </c>
      <c r="K226" s="12">
        <v>272131222529826</v>
      </c>
      <c r="L226" s="13">
        <v>0.0381718361274275</v>
      </c>
      <c r="M226" s="5" t="s">
        <v>94</v>
      </c>
      <c r="N226" s="5" t="s">
        <v>45</v>
      </c>
      <c r="O226" s="5" t="s">
        <v>95</v>
      </c>
      <c r="P226" s="5" t="s">
        <v>96</v>
      </c>
      <c r="Q226" s="5" t="s">
        <v>83</v>
      </c>
    </row>
    <row r="227" ht="34" spans="1:17">
      <c r="A227" t="s">
        <v>92</v>
      </c>
      <c r="B227" t="s">
        <v>93</v>
      </c>
      <c r="C227" t="s">
        <v>70</v>
      </c>
      <c r="D227" t="s">
        <v>71</v>
      </c>
      <c r="E227" t="s">
        <v>49</v>
      </c>
      <c r="F227" s="12">
        <v>2800000000000000</v>
      </c>
      <c r="G227" s="12">
        <v>40000000000000</v>
      </c>
      <c r="H227" s="12">
        <v>170016321200954</v>
      </c>
      <c r="I227" s="12" t="s">
        <v>80</v>
      </c>
      <c r="J227" s="12" t="s">
        <v>81</v>
      </c>
      <c r="K227" s="12">
        <v>7019368164803.17</v>
      </c>
      <c r="L227" s="13">
        <v>0.0412864371797957</v>
      </c>
      <c r="M227" s="5" t="s">
        <v>94</v>
      </c>
      <c r="N227" s="5" t="s">
        <v>45</v>
      </c>
      <c r="O227" s="5" t="s">
        <v>95</v>
      </c>
      <c r="P227" s="5" t="s">
        <v>96</v>
      </c>
      <c r="Q227" s="5" t="s">
        <v>83</v>
      </c>
    </row>
    <row r="228" ht="34" spans="1:17">
      <c r="A228" t="s">
        <v>92</v>
      </c>
      <c r="B228" t="s">
        <v>93</v>
      </c>
      <c r="C228" t="s">
        <v>70</v>
      </c>
      <c r="D228" t="s">
        <v>71</v>
      </c>
      <c r="E228" t="s">
        <v>50</v>
      </c>
      <c r="F228" s="12">
        <v>2800000000000000</v>
      </c>
      <c r="G228" s="12">
        <v>40000000000000</v>
      </c>
      <c r="H228" s="12">
        <v>225622083660801</v>
      </c>
      <c r="I228" s="12" t="s">
        <v>80</v>
      </c>
      <c r="J228" s="12" t="s">
        <v>81</v>
      </c>
      <c r="K228" s="12">
        <v>11834755119680.5</v>
      </c>
      <c r="L228" s="13">
        <v>0.0524538862847875</v>
      </c>
      <c r="M228" s="5" t="s">
        <v>94</v>
      </c>
      <c r="N228" s="5" t="s">
        <v>45</v>
      </c>
      <c r="O228" s="5" t="s">
        <v>95</v>
      </c>
      <c r="P228" s="5" t="s">
        <v>96</v>
      </c>
      <c r="Q228" s="5" t="s">
        <v>83</v>
      </c>
    </row>
    <row r="229" ht="34" spans="1:17">
      <c r="A229" t="s">
        <v>92</v>
      </c>
      <c r="B229" t="s">
        <v>93</v>
      </c>
      <c r="C229" t="s">
        <v>70</v>
      </c>
      <c r="D229" t="s">
        <v>71</v>
      </c>
      <c r="E229" t="s">
        <v>51</v>
      </c>
      <c r="F229" s="12">
        <v>2800000000000000</v>
      </c>
      <c r="G229" s="12">
        <v>40000000000000</v>
      </c>
      <c r="H229" s="12">
        <v>1722533183051530</v>
      </c>
      <c r="I229" s="12" t="s">
        <v>80</v>
      </c>
      <c r="J229" s="12" t="s">
        <v>81</v>
      </c>
      <c r="K229" s="12">
        <v>83774253241458.9</v>
      </c>
      <c r="L229" s="13">
        <v>0.0486343334722004</v>
      </c>
      <c r="M229" s="5" t="s">
        <v>94</v>
      </c>
      <c r="N229" s="5" t="s">
        <v>45</v>
      </c>
      <c r="O229" s="5" t="s">
        <v>95</v>
      </c>
      <c r="P229" s="5" t="s">
        <v>96</v>
      </c>
      <c r="Q229" s="5" t="s">
        <v>83</v>
      </c>
    </row>
    <row r="230" ht="34" spans="1:17">
      <c r="A230" t="s">
        <v>92</v>
      </c>
      <c r="B230" t="s">
        <v>93</v>
      </c>
      <c r="C230" t="s">
        <v>70</v>
      </c>
      <c r="D230" t="s">
        <v>71</v>
      </c>
      <c r="E230" t="s">
        <v>52</v>
      </c>
      <c r="F230" s="12">
        <v>2800000000000000</v>
      </c>
      <c r="G230" s="12">
        <v>40000000000000</v>
      </c>
      <c r="H230" s="12">
        <v>776929068555164</v>
      </c>
      <c r="I230" s="12" t="s">
        <v>80</v>
      </c>
      <c r="J230" s="12" t="s">
        <v>81</v>
      </c>
      <c r="K230" s="12">
        <v>35656383326748.4</v>
      </c>
      <c r="L230" s="13">
        <v>0.0458940008423905</v>
      </c>
      <c r="M230" s="5" t="s">
        <v>94</v>
      </c>
      <c r="N230" s="5" t="s">
        <v>45</v>
      </c>
      <c r="O230" s="5" t="s">
        <v>95</v>
      </c>
      <c r="P230" s="5" t="s">
        <v>96</v>
      </c>
      <c r="Q230" s="5" t="s">
        <v>83</v>
      </c>
    </row>
    <row r="231" ht="34" spans="1:17">
      <c r="A231" t="s">
        <v>92</v>
      </c>
      <c r="B231" t="s">
        <v>93</v>
      </c>
      <c r="C231" t="s">
        <v>70</v>
      </c>
      <c r="D231" t="s">
        <v>71</v>
      </c>
      <c r="E231" t="s">
        <v>53</v>
      </c>
      <c r="F231" s="12">
        <v>2800000000000000</v>
      </c>
      <c r="G231" s="12">
        <v>40000000000000</v>
      </c>
      <c r="H231" s="12">
        <v>5502686884534680</v>
      </c>
      <c r="I231" s="12" t="s">
        <v>80</v>
      </c>
      <c r="J231" s="12" t="s">
        <v>81</v>
      </c>
      <c r="K231" s="12">
        <v>244451335930546</v>
      </c>
      <c r="L231" s="13">
        <v>0.044423995233597</v>
      </c>
      <c r="M231" s="5" t="s">
        <v>94</v>
      </c>
      <c r="N231" s="5" t="s">
        <v>45</v>
      </c>
      <c r="O231" s="5" t="s">
        <v>95</v>
      </c>
      <c r="P231" s="5" t="s">
        <v>96</v>
      </c>
      <c r="Q231" s="5" t="s">
        <v>83</v>
      </c>
    </row>
    <row r="232" ht="34" spans="1:17">
      <c r="A232" t="s">
        <v>92</v>
      </c>
      <c r="B232" t="s">
        <v>93</v>
      </c>
      <c r="C232" t="s">
        <v>70</v>
      </c>
      <c r="D232" t="s">
        <v>71</v>
      </c>
      <c r="E232" t="s">
        <v>54</v>
      </c>
      <c r="F232" s="12">
        <v>2800000000000000</v>
      </c>
      <c r="G232" s="12">
        <v>40000000000000</v>
      </c>
      <c r="H232" s="12">
        <v>6793896088574370</v>
      </c>
      <c r="I232" s="12" t="s">
        <v>80</v>
      </c>
      <c r="J232" s="12" t="s">
        <v>81</v>
      </c>
      <c r="K232" s="12">
        <v>301949841737871</v>
      </c>
      <c r="L232" s="13">
        <v>0.0444442831920369</v>
      </c>
      <c r="M232" s="5" t="s">
        <v>94</v>
      </c>
      <c r="N232" s="5" t="s">
        <v>45</v>
      </c>
      <c r="O232" s="5" t="s">
        <v>95</v>
      </c>
      <c r="P232" s="5" t="s">
        <v>96</v>
      </c>
      <c r="Q232" s="5" t="s">
        <v>83</v>
      </c>
    </row>
    <row r="233" ht="34" spans="1:17">
      <c r="A233" t="s">
        <v>92</v>
      </c>
      <c r="B233" t="s">
        <v>93</v>
      </c>
      <c r="C233" t="s">
        <v>70</v>
      </c>
      <c r="D233" t="s">
        <v>71</v>
      </c>
      <c r="E233" t="s">
        <v>55</v>
      </c>
      <c r="F233" s="12">
        <v>2800000000000000</v>
      </c>
      <c r="G233" s="12">
        <v>40000000000000</v>
      </c>
      <c r="H233" s="12">
        <v>143610600416316</v>
      </c>
      <c r="I233" s="12" t="s">
        <v>80</v>
      </c>
      <c r="J233" s="12" t="s">
        <v>81</v>
      </c>
      <c r="K233" s="12">
        <v>7289689917888.43</v>
      </c>
      <c r="L233" s="13">
        <v>0.0507601103035305</v>
      </c>
      <c r="M233" s="5" t="s">
        <v>94</v>
      </c>
      <c r="N233" s="5" t="s">
        <v>45</v>
      </c>
      <c r="O233" s="5" t="s">
        <v>95</v>
      </c>
      <c r="P233" s="5" t="s">
        <v>96</v>
      </c>
      <c r="Q233" s="5" t="s">
        <v>83</v>
      </c>
    </row>
    <row r="234" ht="34" spans="1:17">
      <c r="A234" t="s">
        <v>92</v>
      </c>
      <c r="B234" t="s">
        <v>93</v>
      </c>
      <c r="C234" t="s">
        <v>72</v>
      </c>
      <c r="D234" t="s">
        <v>73</v>
      </c>
      <c r="E234" t="s">
        <v>41</v>
      </c>
      <c r="F234" s="12">
        <v>2800000000000000</v>
      </c>
      <c r="G234" s="12">
        <v>40000000000000</v>
      </c>
      <c r="H234" s="12">
        <v>7408841568583900</v>
      </c>
      <c r="I234" s="12" t="s">
        <v>80</v>
      </c>
      <c r="J234" s="12" t="s">
        <v>81</v>
      </c>
      <c r="K234" s="12">
        <v>272131222529826</v>
      </c>
      <c r="L234" s="13">
        <v>0.0367306035647676</v>
      </c>
      <c r="M234" s="5" t="s">
        <v>94</v>
      </c>
      <c r="N234" s="5" t="s">
        <v>45</v>
      </c>
      <c r="O234" s="5" t="s">
        <v>95</v>
      </c>
      <c r="P234" s="5" t="s">
        <v>96</v>
      </c>
      <c r="Q234" s="5" t="s">
        <v>83</v>
      </c>
    </row>
    <row r="235" ht="34" spans="1:17">
      <c r="A235" t="s">
        <v>92</v>
      </c>
      <c r="B235" t="s">
        <v>93</v>
      </c>
      <c r="C235" t="s">
        <v>72</v>
      </c>
      <c r="D235" t="s">
        <v>73</v>
      </c>
      <c r="E235" t="s">
        <v>49</v>
      </c>
      <c r="F235" s="12">
        <v>2800000000000000</v>
      </c>
      <c r="G235" s="12">
        <v>40000000000000</v>
      </c>
      <c r="H235" s="12">
        <v>128454208782157</v>
      </c>
      <c r="I235" s="12" t="s">
        <v>80</v>
      </c>
      <c r="J235" s="12" t="s">
        <v>81</v>
      </c>
      <c r="K235" s="12">
        <v>7019368164803.17</v>
      </c>
      <c r="L235" s="13">
        <v>0.0546449060046542</v>
      </c>
      <c r="M235" s="5" t="s">
        <v>94</v>
      </c>
      <c r="N235" s="5" t="s">
        <v>45</v>
      </c>
      <c r="O235" s="5" t="s">
        <v>95</v>
      </c>
      <c r="P235" s="5" t="s">
        <v>96</v>
      </c>
      <c r="Q235" s="5" t="s">
        <v>83</v>
      </c>
    </row>
    <row r="236" ht="34" spans="1:17">
      <c r="A236" t="s">
        <v>92</v>
      </c>
      <c r="B236" t="s">
        <v>93</v>
      </c>
      <c r="C236" t="s">
        <v>72</v>
      </c>
      <c r="D236" t="s">
        <v>73</v>
      </c>
      <c r="E236" t="s">
        <v>50</v>
      </c>
      <c r="F236" s="12">
        <v>2800000000000000</v>
      </c>
      <c r="G236" s="12">
        <v>40000000000000</v>
      </c>
      <c r="H236" s="12">
        <v>204638460306241</v>
      </c>
      <c r="I236" s="12" t="s">
        <v>80</v>
      </c>
      <c r="J236" s="12" t="s">
        <v>81</v>
      </c>
      <c r="K236" s="12">
        <v>11834755119680.5</v>
      </c>
      <c r="L236" s="13">
        <v>0.0578325066655103</v>
      </c>
      <c r="M236" s="5" t="s">
        <v>94</v>
      </c>
      <c r="N236" s="5" t="s">
        <v>45</v>
      </c>
      <c r="O236" s="5" t="s">
        <v>95</v>
      </c>
      <c r="P236" s="5" t="s">
        <v>96</v>
      </c>
      <c r="Q236" s="5" t="s">
        <v>83</v>
      </c>
    </row>
    <row r="237" ht="34" spans="1:17">
      <c r="A237" t="s">
        <v>92</v>
      </c>
      <c r="B237" t="s">
        <v>93</v>
      </c>
      <c r="C237" t="s">
        <v>72</v>
      </c>
      <c r="D237" t="s">
        <v>73</v>
      </c>
      <c r="E237" t="s">
        <v>51</v>
      </c>
      <c r="F237" s="12">
        <v>2800000000000000</v>
      </c>
      <c r="G237" s="12">
        <v>40000000000000</v>
      </c>
      <c r="H237" s="12">
        <v>1289590833325710</v>
      </c>
      <c r="I237" s="12" t="s">
        <v>80</v>
      </c>
      <c r="J237" s="12" t="s">
        <v>81</v>
      </c>
      <c r="K237" s="12">
        <v>83774253241458.9</v>
      </c>
      <c r="L237" s="13">
        <v>0.064961886418977</v>
      </c>
      <c r="M237" s="5" t="s">
        <v>94</v>
      </c>
      <c r="N237" s="5" t="s">
        <v>45</v>
      </c>
      <c r="O237" s="5" t="s">
        <v>95</v>
      </c>
      <c r="P237" s="5" t="s">
        <v>96</v>
      </c>
      <c r="Q237" s="5" t="s">
        <v>83</v>
      </c>
    </row>
    <row r="238" ht="34" spans="1:17">
      <c r="A238" t="s">
        <v>92</v>
      </c>
      <c r="B238" t="s">
        <v>93</v>
      </c>
      <c r="C238" t="s">
        <v>72</v>
      </c>
      <c r="D238" t="s">
        <v>73</v>
      </c>
      <c r="E238" t="s">
        <v>52</v>
      </c>
      <c r="F238" s="12">
        <v>2800000000000000</v>
      </c>
      <c r="G238" s="12">
        <v>40000000000000</v>
      </c>
      <c r="H238" s="12">
        <v>659289224258268</v>
      </c>
      <c r="I238" s="12" t="s">
        <v>80</v>
      </c>
      <c r="J238" s="12" t="s">
        <v>81</v>
      </c>
      <c r="K238" s="12">
        <v>35656383326748.4</v>
      </c>
      <c r="L238" s="13">
        <v>0.054083067058867</v>
      </c>
      <c r="M238" s="5" t="s">
        <v>94</v>
      </c>
      <c r="N238" s="5" t="s">
        <v>45</v>
      </c>
      <c r="O238" s="5" t="s">
        <v>95</v>
      </c>
      <c r="P238" s="5" t="s">
        <v>96</v>
      </c>
      <c r="Q238" s="5" t="s">
        <v>83</v>
      </c>
    </row>
    <row r="239" ht="34" spans="1:17">
      <c r="A239" t="s">
        <v>92</v>
      </c>
      <c r="B239" t="s">
        <v>93</v>
      </c>
      <c r="C239" t="s">
        <v>72</v>
      </c>
      <c r="D239" t="s">
        <v>73</v>
      </c>
      <c r="E239" t="s">
        <v>53</v>
      </c>
      <c r="F239" s="12">
        <v>2800000000000000</v>
      </c>
      <c r="G239" s="12">
        <v>40000000000000</v>
      </c>
      <c r="H239" s="12">
        <v>4985398229172040</v>
      </c>
      <c r="I239" s="12" t="s">
        <v>80</v>
      </c>
      <c r="J239" s="12" t="s">
        <v>81</v>
      </c>
      <c r="K239" s="12">
        <v>244451335930546</v>
      </c>
      <c r="L239" s="13">
        <v>0.0490334622618789</v>
      </c>
      <c r="M239" s="5" t="s">
        <v>94</v>
      </c>
      <c r="N239" s="5" t="s">
        <v>45</v>
      </c>
      <c r="O239" s="5" t="s">
        <v>95</v>
      </c>
      <c r="P239" s="5" t="s">
        <v>96</v>
      </c>
      <c r="Q239" s="5" t="s">
        <v>83</v>
      </c>
    </row>
    <row r="240" ht="34" spans="1:17">
      <c r="A240" t="s">
        <v>92</v>
      </c>
      <c r="B240" t="s">
        <v>93</v>
      </c>
      <c r="C240" t="s">
        <v>72</v>
      </c>
      <c r="D240" t="s">
        <v>73</v>
      </c>
      <c r="E240" t="s">
        <v>54</v>
      </c>
      <c r="F240" s="12">
        <v>2800000000000000</v>
      </c>
      <c r="G240" s="12">
        <v>40000000000000</v>
      </c>
      <c r="H240" s="12">
        <v>6577491207378220</v>
      </c>
      <c r="I240" s="12" t="s">
        <v>80</v>
      </c>
      <c r="J240" s="12" t="s">
        <v>81</v>
      </c>
      <c r="K240" s="12">
        <v>301949841737871</v>
      </c>
      <c r="L240" s="13">
        <v>0.045906536735338</v>
      </c>
      <c r="M240" s="5" t="s">
        <v>94</v>
      </c>
      <c r="N240" s="5" t="s">
        <v>45</v>
      </c>
      <c r="O240" s="5" t="s">
        <v>95</v>
      </c>
      <c r="P240" s="5" t="s">
        <v>96</v>
      </c>
      <c r="Q240" s="5" t="s">
        <v>83</v>
      </c>
    </row>
    <row r="241" ht="34" spans="1:17">
      <c r="A241" t="s">
        <v>92</v>
      </c>
      <c r="B241" t="s">
        <v>93</v>
      </c>
      <c r="C241" t="s">
        <v>72</v>
      </c>
      <c r="D241" t="s">
        <v>73</v>
      </c>
      <c r="E241" t="s">
        <v>55</v>
      </c>
      <c r="F241" s="12">
        <v>2800000000000000</v>
      </c>
      <c r="G241" s="12">
        <v>40000000000000</v>
      </c>
      <c r="H241" s="12">
        <v>136279035020553</v>
      </c>
      <c r="I241" s="12" t="s">
        <v>80</v>
      </c>
      <c r="J241" s="12" t="s">
        <v>81</v>
      </c>
      <c r="K241" s="12">
        <v>7289689917888.43</v>
      </c>
      <c r="L241" s="13">
        <v>0.0534909123533862</v>
      </c>
      <c r="M241" s="5" t="s">
        <v>94</v>
      </c>
      <c r="N241" s="5" t="s">
        <v>45</v>
      </c>
      <c r="O241" s="5" t="s">
        <v>95</v>
      </c>
      <c r="P241" s="5" t="s">
        <v>96</v>
      </c>
      <c r="Q241" s="5" t="s">
        <v>83</v>
      </c>
    </row>
    <row r="242" ht="34" spans="1:17">
      <c r="A242" t="s">
        <v>92</v>
      </c>
      <c r="B242" t="s">
        <v>93</v>
      </c>
      <c r="C242" t="s">
        <v>74</v>
      </c>
      <c r="D242" t="s">
        <v>75</v>
      </c>
      <c r="E242" t="s">
        <v>41</v>
      </c>
      <c r="F242" s="12">
        <v>2800000000000000</v>
      </c>
      <c r="G242" s="12">
        <v>40000000000000</v>
      </c>
      <c r="H242" s="12">
        <v>7151755318601600</v>
      </c>
      <c r="I242" s="12" t="s">
        <v>80</v>
      </c>
      <c r="J242" s="12" t="s">
        <v>81</v>
      </c>
      <c r="K242" s="12">
        <v>272131222529826</v>
      </c>
      <c r="L242" s="13">
        <v>0.0380509693644044</v>
      </c>
      <c r="M242" s="5" t="s">
        <v>94</v>
      </c>
      <c r="N242" s="5" t="s">
        <v>45</v>
      </c>
      <c r="O242" s="5" t="s">
        <v>95</v>
      </c>
      <c r="P242" s="5" t="s">
        <v>96</v>
      </c>
      <c r="Q242" s="5" t="s">
        <v>83</v>
      </c>
    </row>
    <row r="243" ht="34" spans="1:17">
      <c r="A243" t="s">
        <v>92</v>
      </c>
      <c r="B243" t="s">
        <v>93</v>
      </c>
      <c r="C243" t="s">
        <v>74</v>
      </c>
      <c r="D243" t="s">
        <v>75</v>
      </c>
      <c r="E243" t="s">
        <v>49</v>
      </c>
      <c r="F243" s="12">
        <v>2800000000000000</v>
      </c>
      <c r="G243" s="12">
        <v>40000000000000</v>
      </c>
      <c r="H243" s="12">
        <v>109783863777773</v>
      </c>
      <c r="I243" s="12" t="s">
        <v>80</v>
      </c>
      <c r="J243" s="12" t="s">
        <v>81</v>
      </c>
      <c r="K243" s="12">
        <v>7019368164803.17</v>
      </c>
      <c r="L243" s="13">
        <v>0.0639380681573742</v>
      </c>
      <c r="M243" s="5" t="s">
        <v>94</v>
      </c>
      <c r="N243" s="5" t="s">
        <v>45</v>
      </c>
      <c r="O243" s="5" t="s">
        <v>95</v>
      </c>
      <c r="P243" s="5" t="s">
        <v>96</v>
      </c>
      <c r="Q243" s="5" t="s">
        <v>83</v>
      </c>
    </row>
    <row r="244" ht="34" spans="1:17">
      <c r="A244" t="s">
        <v>92</v>
      </c>
      <c r="B244" t="s">
        <v>93</v>
      </c>
      <c r="C244" t="s">
        <v>74</v>
      </c>
      <c r="D244" t="s">
        <v>75</v>
      </c>
      <c r="E244" t="s">
        <v>50</v>
      </c>
      <c r="F244" s="12">
        <v>2800000000000000</v>
      </c>
      <c r="G244" s="12">
        <v>40000000000000</v>
      </c>
      <c r="H244" s="12">
        <v>165451154541575</v>
      </c>
      <c r="I244" s="12" t="s">
        <v>80</v>
      </c>
      <c r="J244" s="12" t="s">
        <v>81</v>
      </c>
      <c r="K244" s="12">
        <v>11834755119680.5</v>
      </c>
      <c r="L244" s="13">
        <v>0.0715302057122037</v>
      </c>
      <c r="M244" s="5" t="s">
        <v>94</v>
      </c>
      <c r="N244" s="5" t="s">
        <v>45</v>
      </c>
      <c r="O244" s="5" t="s">
        <v>95</v>
      </c>
      <c r="P244" s="5" t="s">
        <v>96</v>
      </c>
      <c r="Q244" s="5" t="s">
        <v>83</v>
      </c>
    </row>
    <row r="245" ht="34" spans="1:17">
      <c r="A245" t="s">
        <v>92</v>
      </c>
      <c r="B245" t="s">
        <v>93</v>
      </c>
      <c r="C245" t="s">
        <v>74</v>
      </c>
      <c r="D245" t="s">
        <v>75</v>
      </c>
      <c r="E245" t="s">
        <v>51</v>
      </c>
      <c r="F245" s="12">
        <v>2800000000000000</v>
      </c>
      <c r="G245" s="12">
        <v>40000000000000</v>
      </c>
      <c r="H245" s="12">
        <v>588049324479789</v>
      </c>
      <c r="I245" s="12" t="s">
        <v>80</v>
      </c>
      <c r="J245" s="12" t="s">
        <v>81</v>
      </c>
      <c r="K245" s="12">
        <v>83774253241458.9</v>
      </c>
      <c r="L245" s="13">
        <v>0.142461269410638</v>
      </c>
      <c r="M245" s="5" t="s">
        <v>94</v>
      </c>
      <c r="N245" s="5" t="s">
        <v>45</v>
      </c>
      <c r="O245" s="5" t="s">
        <v>95</v>
      </c>
      <c r="P245" s="5" t="s">
        <v>96</v>
      </c>
      <c r="Q245" s="5" t="s">
        <v>83</v>
      </c>
    </row>
    <row r="246" ht="34" spans="1:17">
      <c r="A246" t="s">
        <v>92</v>
      </c>
      <c r="B246" t="s">
        <v>93</v>
      </c>
      <c r="C246" t="s">
        <v>74</v>
      </c>
      <c r="D246" t="s">
        <v>75</v>
      </c>
      <c r="E246" t="s">
        <v>52</v>
      </c>
      <c r="F246" s="12">
        <v>2800000000000000</v>
      </c>
      <c r="G246" s="12">
        <v>40000000000000</v>
      </c>
      <c r="H246" s="12">
        <v>585539009415400</v>
      </c>
      <c r="I246" s="12" t="s">
        <v>80</v>
      </c>
      <c r="J246" s="12" t="s">
        <v>81</v>
      </c>
      <c r="K246" s="12">
        <v>35656383326748.4</v>
      </c>
      <c r="L246" s="13">
        <v>0.060894974977581</v>
      </c>
      <c r="M246" s="5" t="s">
        <v>94</v>
      </c>
      <c r="N246" s="5" t="s">
        <v>45</v>
      </c>
      <c r="O246" s="5" t="s">
        <v>95</v>
      </c>
      <c r="P246" s="5" t="s">
        <v>96</v>
      </c>
      <c r="Q246" s="5" t="s">
        <v>83</v>
      </c>
    </row>
    <row r="247" ht="34" spans="1:17">
      <c r="A247" t="s">
        <v>92</v>
      </c>
      <c r="B247" t="s">
        <v>93</v>
      </c>
      <c r="C247" t="s">
        <v>74</v>
      </c>
      <c r="D247" t="s">
        <v>75</v>
      </c>
      <c r="E247" t="s">
        <v>53</v>
      </c>
      <c r="F247" s="12">
        <v>2800000000000000</v>
      </c>
      <c r="G247" s="12">
        <v>40000000000000</v>
      </c>
      <c r="H247" s="12">
        <v>4590162919695260</v>
      </c>
      <c r="I247" s="12" t="s">
        <v>80</v>
      </c>
      <c r="J247" s="12" t="s">
        <v>81</v>
      </c>
      <c r="K247" s="12">
        <v>244451335930546</v>
      </c>
      <c r="L247" s="13">
        <v>0.0532554813864373</v>
      </c>
      <c r="M247" s="5" t="s">
        <v>94</v>
      </c>
      <c r="N247" s="5" t="s">
        <v>45</v>
      </c>
      <c r="O247" s="5" t="s">
        <v>95</v>
      </c>
      <c r="P247" s="5" t="s">
        <v>96</v>
      </c>
      <c r="Q247" s="5" t="s">
        <v>83</v>
      </c>
    </row>
    <row r="248" ht="34" spans="1:17">
      <c r="A248" t="s">
        <v>92</v>
      </c>
      <c r="B248" t="s">
        <v>93</v>
      </c>
      <c r="C248" t="s">
        <v>74</v>
      </c>
      <c r="D248" t="s">
        <v>75</v>
      </c>
      <c r="E248" t="s">
        <v>54</v>
      </c>
      <c r="F248" s="12">
        <v>2800000000000000</v>
      </c>
      <c r="G248" s="12">
        <v>40000000000000</v>
      </c>
      <c r="H248" s="12">
        <v>6385504319233740</v>
      </c>
      <c r="I248" s="12" t="s">
        <v>80</v>
      </c>
      <c r="J248" s="12" t="s">
        <v>81</v>
      </c>
      <c r="K248" s="12">
        <v>301949841737871</v>
      </c>
      <c r="L248" s="13">
        <v>0.0472867649354444</v>
      </c>
      <c r="M248" s="5" t="s">
        <v>94</v>
      </c>
      <c r="N248" s="5" t="s">
        <v>45</v>
      </c>
      <c r="O248" s="5" t="s">
        <v>95</v>
      </c>
      <c r="P248" s="5" t="s">
        <v>96</v>
      </c>
      <c r="Q248" s="5" t="s">
        <v>83</v>
      </c>
    </row>
    <row r="249" ht="34" spans="1:17">
      <c r="A249" t="s">
        <v>92</v>
      </c>
      <c r="B249" t="s">
        <v>93</v>
      </c>
      <c r="C249" t="s">
        <v>74</v>
      </c>
      <c r="D249" t="s">
        <v>75</v>
      </c>
      <c r="E249" t="s">
        <v>55</v>
      </c>
      <c r="F249" s="12">
        <v>2800000000000000</v>
      </c>
      <c r="G249" s="12">
        <v>40000000000000</v>
      </c>
      <c r="H249" s="12">
        <v>112868019408355</v>
      </c>
      <c r="I249" s="12" t="s">
        <v>80</v>
      </c>
      <c r="J249" s="12" t="s">
        <v>81</v>
      </c>
      <c r="K249" s="12">
        <v>7289689917888.43</v>
      </c>
      <c r="L249" s="13">
        <v>0.0645859647055062</v>
      </c>
      <c r="M249" s="5" t="s">
        <v>94</v>
      </c>
      <c r="N249" s="5" t="s">
        <v>45</v>
      </c>
      <c r="O249" s="5" t="s">
        <v>95</v>
      </c>
      <c r="P249" s="5" t="s">
        <v>96</v>
      </c>
      <c r="Q249" s="5" t="s">
        <v>83</v>
      </c>
    </row>
    <row r="250" ht="34" spans="1:17">
      <c r="A250" t="s">
        <v>92</v>
      </c>
      <c r="B250" t="s">
        <v>93</v>
      </c>
      <c r="C250" t="s">
        <v>76</v>
      </c>
      <c r="D250" t="s">
        <v>77</v>
      </c>
      <c r="E250" t="s">
        <v>41</v>
      </c>
      <c r="F250" s="12">
        <v>2800000000000000</v>
      </c>
      <c r="G250" s="12">
        <v>40000000000000</v>
      </c>
      <c r="H250" s="12">
        <v>8363010049654480</v>
      </c>
      <c r="I250" s="12" t="s">
        <v>80</v>
      </c>
      <c r="J250" s="12" t="s">
        <v>81</v>
      </c>
      <c r="K250" s="12">
        <v>272131222529826</v>
      </c>
      <c r="L250" s="13">
        <v>0.0325398655405261</v>
      </c>
      <c r="M250" s="5" t="s">
        <v>94</v>
      </c>
      <c r="N250" s="5" t="s">
        <v>45</v>
      </c>
      <c r="O250" s="5" t="s">
        <v>95</v>
      </c>
      <c r="P250" s="5" t="s">
        <v>96</v>
      </c>
      <c r="Q250" s="5" t="s">
        <v>83</v>
      </c>
    </row>
    <row r="251" ht="34" spans="1:17">
      <c r="A251" t="s">
        <v>92</v>
      </c>
      <c r="B251" t="s">
        <v>93</v>
      </c>
      <c r="C251" t="s">
        <v>76</v>
      </c>
      <c r="D251" t="s">
        <v>77</v>
      </c>
      <c r="E251" t="s">
        <v>49</v>
      </c>
      <c r="F251" s="12">
        <v>2800000000000000</v>
      </c>
      <c r="G251" s="12">
        <v>40000000000000</v>
      </c>
      <c r="H251" s="12">
        <v>76627987815646.6</v>
      </c>
      <c r="I251" s="12" t="s">
        <v>80</v>
      </c>
      <c r="J251" s="12" t="s">
        <v>81</v>
      </c>
      <c r="K251" s="12">
        <v>7019368164803.17</v>
      </c>
      <c r="L251" s="13">
        <v>0.0916031904907973</v>
      </c>
      <c r="M251" s="5" t="s">
        <v>94</v>
      </c>
      <c r="N251" s="5" t="s">
        <v>45</v>
      </c>
      <c r="O251" s="5" t="s">
        <v>95</v>
      </c>
      <c r="P251" s="5" t="s">
        <v>96</v>
      </c>
      <c r="Q251" s="5" t="s">
        <v>83</v>
      </c>
    </row>
    <row r="252" ht="34" spans="1:17">
      <c r="A252" t="s">
        <v>92</v>
      </c>
      <c r="B252" t="s">
        <v>93</v>
      </c>
      <c r="C252" t="s">
        <v>76</v>
      </c>
      <c r="D252" t="s">
        <v>77</v>
      </c>
      <c r="E252" t="s">
        <v>50</v>
      </c>
      <c r="F252" s="12">
        <v>2800000000000000</v>
      </c>
      <c r="G252" s="12">
        <v>40000000000000</v>
      </c>
      <c r="H252" s="12">
        <v>179020465897790</v>
      </c>
      <c r="I252" s="12" t="s">
        <v>80</v>
      </c>
      <c r="J252" s="12" t="s">
        <v>81</v>
      </c>
      <c r="K252" s="12">
        <v>11834755119680.5</v>
      </c>
      <c r="L252" s="13">
        <v>0.0661083919111092</v>
      </c>
      <c r="M252" s="5" t="s">
        <v>94</v>
      </c>
      <c r="N252" s="5" t="s">
        <v>45</v>
      </c>
      <c r="O252" s="5" t="s">
        <v>95</v>
      </c>
      <c r="P252" s="5" t="s">
        <v>96</v>
      </c>
      <c r="Q252" s="5" t="s">
        <v>83</v>
      </c>
    </row>
    <row r="253" ht="34" spans="1:17">
      <c r="A253" t="s">
        <v>92</v>
      </c>
      <c r="B253" t="s">
        <v>93</v>
      </c>
      <c r="C253" t="s">
        <v>76</v>
      </c>
      <c r="D253" t="s">
        <v>77</v>
      </c>
      <c r="E253" t="s">
        <v>51</v>
      </c>
      <c r="F253" s="12">
        <v>2800000000000000</v>
      </c>
      <c r="G253" s="12">
        <v>40000000000000</v>
      </c>
      <c r="H253" s="12">
        <v>3978836821749590</v>
      </c>
      <c r="I253" s="12" t="s">
        <v>80</v>
      </c>
      <c r="J253" s="12" t="s">
        <v>81</v>
      </c>
      <c r="K253" s="12">
        <v>83774253241458.9</v>
      </c>
      <c r="L253" s="13">
        <v>0.021054960782388</v>
      </c>
      <c r="M253" s="5" t="s">
        <v>94</v>
      </c>
      <c r="N253" s="5" t="s">
        <v>45</v>
      </c>
      <c r="O253" s="5" t="s">
        <v>95</v>
      </c>
      <c r="P253" s="5" t="s">
        <v>96</v>
      </c>
      <c r="Q253" s="5" t="s">
        <v>83</v>
      </c>
    </row>
    <row r="254" ht="34" spans="1:17">
      <c r="A254" t="s">
        <v>92</v>
      </c>
      <c r="B254" t="s">
        <v>93</v>
      </c>
      <c r="C254" t="s">
        <v>76</v>
      </c>
      <c r="D254" t="s">
        <v>77</v>
      </c>
      <c r="E254" t="s">
        <v>52</v>
      </c>
      <c r="F254" s="12">
        <v>2800000000000000</v>
      </c>
      <c r="G254" s="12">
        <v>40000000000000</v>
      </c>
      <c r="H254" s="12">
        <v>501457549509362</v>
      </c>
      <c r="I254" s="12" t="s">
        <v>80</v>
      </c>
      <c r="J254" s="12" t="s">
        <v>81</v>
      </c>
      <c r="K254" s="12">
        <v>35656383326748.4</v>
      </c>
      <c r="L254" s="13">
        <v>0.0711054871177738</v>
      </c>
      <c r="M254" s="5" t="s">
        <v>94</v>
      </c>
      <c r="N254" s="5" t="s">
        <v>45</v>
      </c>
      <c r="O254" s="5" t="s">
        <v>95</v>
      </c>
      <c r="P254" s="5" t="s">
        <v>96</v>
      </c>
      <c r="Q254" s="5" t="s">
        <v>83</v>
      </c>
    </row>
    <row r="255" ht="34" spans="1:17">
      <c r="A255" t="s">
        <v>92</v>
      </c>
      <c r="B255" t="s">
        <v>93</v>
      </c>
      <c r="C255" t="s">
        <v>76</v>
      </c>
      <c r="D255" t="s">
        <v>77</v>
      </c>
      <c r="E255" t="s">
        <v>53</v>
      </c>
      <c r="F255" s="12">
        <v>2800000000000000</v>
      </c>
      <c r="G255" s="12">
        <v>40000000000000</v>
      </c>
      <c r="H255" s="12">
        <v>3008817703453320</v>
      </c>
      <c r="I255" s="12" t="s">
        <v>80</v>
      </c>
      <c r="J255" s="12" t="s">
        <v>81</v>
      </c>
      <c r="K255" s="12">
        <v>244451335930546</v>
      </c>
      <c r="L255" s="13">
        <v>0.0812449805948631</v>
      </c>
      <c r="M255" s="5" t="s">
        <v>94</v>
      </c>
      <c r="N255" s="5" t="s">
        <v>45</v>
      </c>
      <c r="O255" s="5" t="s">
        <v>95</v>
      </c>
      <c r="P255" s="5" t="s">
        <v>96</v>
      </c>
      <c r="Q255" s="5" t="s">
        <v>83</v>
      </c>
    </row>
    <row r="256" ht="34" spans="1:17">
      <c r="A256" t="s">
        <v>92</v>
      </c>
      <c r="B256" t="s">
        <v>93</v>
      </c>
      <c r="C256" t="s">
        <v>76</v>
      </c>
      <c r="D256" t="s">
        <v>77</v>
      </c>
      <c r="E256" t="s">
        <v>54</v>
      </c>
      <c r="F256" s="12">
        <v>2800000000000000</v>
      </c>
      <c r="G256" s="12">
        <v>40000000000000</v>
      </c>
      <c r="H256" s="12">
        <v>4549863117774670</v>
      </c>
      <c r="I256" s="12" t="s">
        <v>80</v>
      </c>
      <c r="J256" s="12" t="s">
        <v>81</v>
      </c>
      <c r="K256" s="12">
        <v>301949841737871</v>
      </c>
      <c r="L256" s="13">
        <v>0.0663645990927204</v>
      </c>
      <c r="M256" s="5" t="s">
        <v>94</v>
      </c>
      <c r="N256" s="5" t="s">
        <v>45</v>
      </c>
      <c r="O256" s="5" t="s">
        <v>95</v>
      </c>
      <c r="P256" s="5" t="s">
        <v>96</v>
      </c>
      <c r="Q256" s="5" t="s">
        <v>83</v>
      </c>
    </row>
    <row r="257" ht="34" spans="1:17">
      <c r="A257" t="s">
        <v>92</v>
      </c>
      <c r="B257" t="s">
        <v>93</v>
      </c>
      <c r="C257" t="s">
        <v>76</v>
      </c>
      <c r="D257" t="s">
        <v>77</v>
      </c>
      <c r="E257" t="s">
        <v>55</v>
      </c>
      <c r="F257" s="12">
        <v>2800000000000000</v>
      </c>
      <c r="G257" s="12">
        <v>40000000000000</v>
      </c>
      <c r="H257" s="12">
        <v>99589670910818.4</v>
      </c>
      <c r="I257" s="12" t="s">
        <v>80</v>
      </c>
      <c r="J257" s="12" t="s">
        <v>81</v>
      </c>
      <c r="K257" s="12">
        <v>7289689917888.43</v>
      </c>
      <c r="L257" s="13">
        <v>0.073197248783122</v>
      </c>
      <c r="M257" s="5" t="s">
        <v>94</v>
      </c>
      <c r="N257" s="5" t="s">
        <v>45</v>
      </c>
      <c r="O257" s="5" t="s">
        <v>95</v>
      </c>
      <c r="P257" s="5" t="s">
        <v>96</v>
      </c>
      <c r="Q257" s="5" t="s">
        <v>83</v>
      </c>
    </row>
    <row r="258" ht="34" spans="1:17">
      <c r="A258" t="s">
        <v>97</v>
      </c>
      <c r="B258" t="s">
        <v>98</v>
      </c>
      <c r="C258" t="s">
        <v>39</v>
      </c>
      <c r="D258" t="s">
        <v>40</v>
      </c>
      <c r="E258" t="s">
        <v>41</v>
      </c>
      <c r="F258" s="12">
        <v>2800000000000000</v>
      </c>
      <c r="G258" s="12">
        <v>40000000000000</v>
      </c>
      <c r="H258" s="12">
        <v>6029891948456730</v>
      </c>
      <c r="I258" s="12" t="s">
        <v>80</v>
      </c>
      <c r="J258" s="12" t="s">
        <v>81</v>
      </c>
      <c r="K258" s="12">
        <v>272131222529826</v>
      </c>
      <c r="L258" s="13">
        <v>0.0451303646658999</v>
      </c>
      <c r="M258" s="5" t="s">
        <v>94</v>
      </c>
      <c r="N258" s="5" t="s">
        <v>45</v>
      </c>
      <c r="O258" s="5" t="s">
        <v>95</v>
      </c>
      <c r="P258" s="5" t="s">
        <v>96</v>
      </c>
      <c r="Q258" s="5" t="s">
        <v>83</v>
      </c>
    </row>
    <row r="259" ht="34" spans="1:17">
      <c r="A259" t="s">
        <v>97</v>
      </c>
      <c r="B259" t="s">
        <v>98</v>
      </c>
      <c r="C259" t="s">
        <v>39</v>
      </c>
      <c r="D259" t="s">
        <v>40</v>
      </c>
      <c r="E259" t="s">
        <v>49</v>
      </c>
      <c r="F259" s="12">
        <v>2800000000000000</v>
      </c>
      <c r="G259" s="12">
        <v>40000000000000</v>
      </c>
      <c r="H259" s="12">
        <v>62575483925870.9</v>
      </c>
      <c r="I259" s="12" t="s">
        <v>80</v>
      </c>
      <c r="J259" s="12" t="s">
        <v>81</v>
      </c>
      <c r="K259" s="12">
        <v>7019368164803.17</v>
      </c>
      <c r="L259" s="13">
        <v>0.112174412795889</v>
      </c>
      <c r="M259" s="5" t="s">
        <v>94</v>
      </c>
      <c r="N259" s="5" t="s">
        <v>45</v>
      </c>
      <c r="O259" s="5" t="s">
        <v>95</v>
      </c>
      <c r="P259" s="5" t="s">
        <v>96</v>
      </c>
      <c r="Q259" s="5" t="s">
        <v>83</v>
      </c>
    </row>
    <row r="260" ht="34" spans="1:17">
      <c r="A260" t="s">
        <v>97</v>
      </c>
      <c r="B260" t="s">
        <v>98</v>
      </c>
      <c r="C260" t="s">
        <v>39</v>
      </c>
      <c r="D260" t="s">
        <v>40</v>
      </c>
      <c r="E260" t="s">
        <v>50</v>
      </c>
      <c r="F260" s="12">
        <v>2800000000000000</v>
      </c>
      <c r="G260" s="12">
        <v>40000000000000</v>
      </c>
      <c r="H260" s="12">
        <v>161696630451486</v>
      </c>
      <c r="I260" s="12" t="s">
        <v>80</v>
      </c>
      <c r="J260" s="12" t="s">
        <v>81</v>
      </c>
      <c r="K260" s="12">
        <v>11834755119680.5</v>
      </c>
      <c r="L260" s="13">
        <v>0.0731911053844208</v>
      </c>
      <c r="M260" s="5" t="s">
        <v>94</v>
      </c>
      <c r="N260" s="5" t="s">
        <v>45</v>
      </c>
      <c r="O260" s="5" t="s">
        <v>95</v>
      </c>
      <c r="P260" s="5" t="s">
        <v>96</v>
      </c>
      <c r="Q260" s="5" t="s">
        <v>83</v>
      </c>
    </row>
    <row r="261" ht="34" spans="1:17">
      <c r="A261" t="s">
        <v>97</v>
      </c>
      <c r="B261" t="s">
        <v>98</v>
      </c>
      <c r="C261" t="s">
        <v>39</v>
      </c>
      <c r="D261" t="s">
        <v>40</v>
      </c>
      <c r="E261" t="s">
        <v>51</v>
      </c>
      <c r="F261" s="12">
        <v>2800000000000000</v>
      </c>
      <c r="G261" s="12">
        <v>40000000000000</v>
      </c>
      <c r="H261" s="12">
        <v>837465869962410</v>
      </c>
      <c r="I261" s="12" t="s">
        <v>80</v>
      </c>
      <c r="J261" s="12" t="s">
        <v>81</v>
      </c>
      <c r="K261" s="12">
        <v>83774253241458.9</v>
      </c>
      <c r="L261" s="13">
        <v>0.100033035668927</v>
      </c>
      <c r="M261" s="5" t="s">
        <v>94</v>
      </c>
      <c r="N261" s="5" t="s">
        <v>45</v>
      </c>
      <c r="O261" s="5" t="s">
        <v>95</v>
      </c>
      <c r="P261" s="5" t="s">
        <v>96</v>
      </c>
      <c r="Q261" s="5" t="s">
        <v>83</v>
      </c>
    </row>
    <row r="262" ht="34" spans="1:17">
      <c r="A262" t="s">
        <v>97</v>
      </c>
      <c r="B262" t="s">
        <v>98</v>
      </c>
      <c r="C262" t="s">
        <v>39</v>
      </c>
      <c r="D262" t="s">
        <v>40</v>
      </c>
      <c r="E262" t="s">
        <v>52</v>
      </c>
      <c r="F262" s="12">
        <v>2800000000000000</v>
      </c>
      <c r="G262" s="12">
        <v>40000000000000</v>
      </c>
      <c r="H262" s="12">
        <v>748828700579322</v>
      </c>
      <c r="I262" s="12" t="s">
        <v>80</v>
      </c>
      <c r="J262" s="12" t="s">
        <v>81</v>
      </c>
      <c r="K262" s="12">
        <v>35656383326748.4</v>
      </c>
      <c r="L262" s="13">
        <v>0.0476162082184661</v>
      </c>
      <c r="M262" s="5" t="s">
        <v>94</v>
      </c>
      <c r="N262" s="5" t="s">
        <v>45</v>
      </c>
      <c r="O262" s="5" t="s">
        <v>95</v>
      </c>
      <c r="P262" s="5" t="s">
        <v>96</v>
      </c>
      <c r="Q262" s="5" t="s">
        <v>83</v>
      </c>
    </row>
    <row r="263" ht="34" spans="1:17">
      <c r="A263" t="s">
        <v>97</v>
      </c>
      <c r="B263" t="s">
        <v>98</v>
      </c>
      <c r="C263" t="s">
        <v>39</v>
      </c>
      <c r="D263" t="s">
        <v>40</v>
      </c>
      <c r="E263" t="s">
        <v>53</v>
      </c>
      <c r="F263" s="12">
        <v>2800000000000000</v>
      </c>
      <c r="G263" s="12">
        <v>40000000000000</v>
      </c>
      <c r="H263" s="12">
        <v>1904992680960780</v>
      </c>
      <c r="I263" s="12" t="s">
        <v>80</v>
      </c>
      <c r="J263" s="12" t="s">
        <v>81</v>
      </c>
      <c r="K263" s="12">
        <v>244451335930546</v>
      </c>
      <c r="L263" s="13">
        <v>0.128321404262433</v>
      </c>
      <c r="M263" s="5" t="s">
        <v>94</v>
      </c>
      <c r="N263" s="5" t="s">
        <v>45</v>
      </c>
      <c r="O263" s="5" t="s">
        <v>95</v>
      </c>
      <c r="P263" s="5" t="s">
        <v>96</v>
      </c>
      <c r="Q263" s="5" t="s">
        <v>83</v>
      </c>
    </row>
    <row r="264" ht="34" spans="1:17">
      <c r="A264" t="s">
        <v>97</v>
      </c>
      <c r="B264" t="s">
        <v>98</v>
      </c>
      <c r="C264" t="s">
        <v>39</v>
      </c>
      <c r="D264" t="s">
        <v>40</v>
      </c>
      <c r="E264" t="s">
        <v>54</v>
      </c>
      <c r="F264" s="12">
        <v>2800000000000000</v>
      </c>
      <c r="G264" s="12">
        <v>40000000000000</v>
      </c>
      <c r="H264" s="12">
        <v>3392489426426560</v>
      </c>
      <c r="I264" s="12" t="s">
        <v>80</v>
      </c>
      <c r="J264" s="12" t="s">
        <v>81</v>
      </c>
      <c r="K264" s="12">
        <v>301949841737871</v>
      </c>
      <c r="L264" s="13">
        <v>0.0890053891946618</v>
      </c>
      <c r="M264" s="5" t="s">
        <v>94</v>
      </c>
      <c r="N264" s="5" t="s">
        <v>45</v>
      </c>
      <c r="O264" s="5" t="s">
        <v>95</v>
      </c>
      <c r="P264" s="5" t="s">
        <v>96</v>
      </c>
      <c r="Q264" s="5" t="s">
        <v>83</v>
      </c>
    </row>
    <row r="265" ht="34" spans="1:17">
      <c r="A265" t="s">
        <v>97</v>
      </c>
      <c r="B265" t="s">
        <v>98</v>
      </c>
      <c r="C265" t="s">
        <v>39</v>
      </c>
      <c r="D265" t="s">
        <v>40</v>
      </c>
      <c r="E265" t="s">
        <v>55</v>
      </c>
      <c r="F265" s="12">
        <v>2800000000000000</v>
      </c>
      <c r="G265" s="12">
        <v>40000000000000</v>
      </c>
      <c r="H265" s="12">
        <v>152678123571091</v>
      </c>
      <c r="I265" s="12" t="s">
        <v>80</v>
      </c>
      <c r="J265" s="12" t="s">
        <v>81</v>
      </c>
      <c r="K265" s="12">
        <v>7289689917888.43</v>
      </c>
      <c r="L265" s="13">
        <v>0.0477454775273954</v>
      </c>
      <c r="M265" s="5" t="s">
        <v>94</v>
      </c>
      <c r="N265" s="5" t="s">
        <v>45</v>
      </c>
      <c r="O265" s="5" t="s">
        <v>95</v>
      </c>
      <c r="P265" s="5" t="s">
        <v>96</v>
      </c>
      <c r="Q265" s="5" t="s">
        <v>83</v>
      </c>
    </row>
    <row r="266" ht="34" spans="1:17">
      <c r="A266" t="s">
        <v>97</v>
      </c>
      <c r="B266" t="s">
        <v>98</v>
      </c>
      <c r="C266" t="s">
        <v>56</v>
      </c>
      <c r="D266" t="s">
        <v>57</v>
      </c>
      <c r="E266" t="s">
        <v>41</v>
      </c>
      <c r="F266" s="12">
        <v>2800000000000000</v>
      </c>
      <c r="G266" s="12">
        <v>40000000000000</v>
      </c>
      <c r="H266" s="12">
        <v>5996314815741940</v>
      </c>
      <c r="I266" s="12" t="s">
        <v>80</v>
      </c>
      <c r="J266" s="12" t="s">
        <v>81</v>
      </c>
      <c r="K266" s="12">
        <v>272131222529826</v>
      </c>
      <c r="L266" s="13">
        <v>0.0453830779223613</v>
      </c>
      <c r="M266" s="5" t="s">
        <v>94</v>
      </c>
      <c r="N266" s="5" t="s">
        <v>45</v>
      </c>
      <c r="O266" s="5" t="s">
        <v>95</v>
      </c>
      <c r="P266" s="5" t="s">
        <v>96</v>
      </c>
      <c r="Q266" s="5" t="s">
        <v>83</v>
      </c>
    </row>
    <row r="267" ht="34" spans="1:17">
      <c r="A267" t="s">
        <v>97</v>
      </c>
      <c r="B267" t="s">
        <v>98</v>
      </c>
      <c r="C267" t="s">
        <v>56</v>
      </c>
      <c r="D267" t="s">
        <v>57</v>
      </c>
      <c r="E267" t="s">
        <v>49</v>
      </c>
      <c r="F267" s="12">
        <v>2800000000000000</v>
      </c>
      <c r="G267" s="12">
        <v>40000000000000</v>
      </c>
      <c r="H267" s="12">
        <v>56285826435549</v>
      </c>
      <c r="I267" s="12" t="s">
        <v>80</v>
      </c>
      <c r="J267" s="12" t="s">
        <v>81</v>
      </c>
      <c r="K267" s="12">
        <v>7019368164803.17</v>
      </c>
      <c r="L267" s="13">
        <v>0.124709338199747</v>
      </c>
      <c r="M267" s="5" t="s">
        <v>94</v>
      </c>
      <c r="N267" s="5" t="s">
        <v>45</v>
      </c>
      <c r="O267" s="5" t="s">
        <v>95</v>
      </c>
      <c r="P267" s="5" t="s">
        <v>96</v>
      </c>
      <c r="Q267" s="5" t="s">
        <v>83</v>
      </c>
    </row>
    <row r="268" ht="34" spans="1:17">
      <c r="A268" t="s">
        <v>97</v>
      </c>
      <c r="B268" t="s">
        <v>98</v>
      </c>
      <c r="C268" t="s">
        <v>56</v>
      </c>
      <c r="D268" t="s">
        <v>57</v>
      </c>
      <c r="E268" t="s">
        <v>50</v>
      </c>
      <c r="F268" s="12">
        <v>2800000000000000</v>
      </c>
      <c r="G268" s="12">
        <v>40000000000000</v>
      </c>
      <c r="H268" s="12">
        <v>167729824545726</v>
      </c>
      <c r="I268" s="12" t="s">
        <v>80</v>
      </c>
      <c r="J268" s="12" t="s">
        <v>81</v>
      </c>
      <c r="K268" s="12">
        <v>11834755119680.5</v>
      </c>
      <c r="L268" s="13">
        <v>0.070558442135937</v>
      </c>
      <c r="M268" s="5" t="s">
        <v>94</v>
      </c>
      <c r="N268" s="5" t="s">
        <v>45</v>
      </c>
      <c r="O268" s="5" t="s">
        <v>95</v>
      </c>
      <c r="P268" s="5" t="s">
        <v>96</v>
      </c>
      <c r="Q268" s="5" t="s">
        <v>83</v>
      </c>
    </row>
    <row r="269" ht="34" spans="1:17">
      <c r="A269" t="s">
        <v>97</v>
      </c>
      <c r="B269" t="s">
        <v>98</v>
      </c>
      <c r="C269" t="s">
        <v>56</v>
      </c>
      <c r="D269" t="s">
        <v>57</v>
      </c>
      <c r="E269" t="s">
        <v>51</v>
      </c>
      <c r="F269" s="12">
        <v>2800000000000000</v>
      </c>
      <c r="G269" s="12">
        <v>40000000000000</v>
      </c>
      <c r="H269" s="12">
        <v>1323010584579780</v>
      </c>
      <c r="I269" s="12" t="s">
        <v>80</v>
      </c>
      <c r="J269" s="12" t="s">
        <v>81</v>
      </c>
      <c r="K269" s="12">
        <v>83774253241458.9</v>
      </c>
      <c r="L269" s="13">
        <v>0.0633209244263664</v>
      </c>
      <c r="M269" s="5" t="s">
        <v>94</v>
      </c>
      <c r="N269" s="5" t="s">
        <v>45</v>
      </c>
      <c r="O269" s="5" t="s">
        <v>95</v>
      </c>
      <c r="P269" s="5" t="s">
        <v>96</v>
      </c>
      <c r="Q269" s="5" t="s">
        <v>83</v>
      </c>
    </row>
    <row r="270" ht="34" spans="1:17">
      <c r="A270" t="s">
        <v>97</v>
      </c>
      <c r="B270" t="s">
        <v>98</v>
      </c>
      <c r="C270" t="s">
        <v>56</v>
      </c>
      <c r="D270" t="s">
        <v>57</v>
      </c>
      <c r="E270" t="s">
        <v>52</v>
      </c>
      <c r="F270" s="12">
        <v>2800000000000000</v>
      </c>
      <c r="G270" s="12">
        <v>40000000000000</v>
      </c>
      <c r="H270" s="12">
        <v>1427044720424710</v>
      </c>
      <c r="I270" s="12" t="s">
        <v>80</v>
      </c>
      <c r="J270" s="12" t="s">
        <v>81</v>
      </c>
      <c r="K270" s="12">
        <v>35656383326748.4</v>
      </c>
      <c r="L270" s="13">
        <v>0.0249861709422368</v>
      </c>
      <c r="M270" s="5" t="s">
        <v>94</v>
      </c>
      <c r="N270" s="5" t="s">
        <v>45</v>
      </c>
      <c r="O270" s="5" t="s">
        <v>95</v>
      </c>
      <c r="P270" s="5" t="s">
        <v>96</v>
      </c>
      <c r="Q270" s="5" t="s">
        <v>83</v>
      </c>
    </row>
    <row r="271" ht="34" spans="1:17">
      <c r="A271" t="s">
        <v>97</v>
      </c>
      <c r="B271" t="s">
        <v>98</v>
      </c>
      <c r="C271" t="s">
        <v>56</v>
      </c>
      <c r="D271" t="s">
        <v>57</v>
      </c>
      <c r="E271" t="s">
        <v>53</v>
      </c>
      <c r="F271" s="12">
        <v>2800000000000000</v>
      </c>
      <c r="G271" s="12">
        <v>40000000000000</v>
      </c>
      <c r="H271" s="12">
        <v>1882846773068310</v>
      </c>
      <c r="I271" s="12" t="s">
        <v>80</v>
      </c>
      <c r="J271" s="12" t="s">
        <v>81</v>
      </c>
      <c r="K271" s="12">
        <v>244451335930546</v>
      </c>
      <c r="L271" s="13">
        <v>0.129830711360641</v>
      </c>
      <c r="M271" s="5" t="s">
        <v>94</v>
      </c>
      <c r="N271" s="5" t="s">
        <v>45</v>
      </c>
      <c r="O271" s="5" t="s">
        <v>95</v>
      </c>
      <c r="P271" s="5" t="s">
        <v>96</v>
      </c>
      <c r="Q271" s="5" t="s">
        <v>83</v>
      </c>
    </row>
    <row r="272" ht="34" spans="1:17">
      <c r="A272" t="s">
        <v>97</v>
      </c>
      <c r="B272" t="s">
        <v>98</v>
      </c>
      <c r="C272" t="s">
        <v>56</v>
      </c>
      <c r="D272" t="s">
        <v>57</v>
      </c>
      <c r="E272" t="s">
        <v>54</v>
      </c>
      <c r="F272" s="12">
        <v>2800000000000000</v>
      </c>
      <c r="G272" s="12">
        <v>40000000000000</v>
      </c>
      <c r="H272" s="12">
        <v>4059643582692780</v>
      </c>
      <c r="I272" s="12" t="s">
        <v>80</v>
      </c>
      <c r="J272" s="12" t="s">
        <v>81</v>
      </c>
      <c r="K272" s="12">
        <v>301949841737871</v>
      </c>
      <c r="L272" s="13">
        <v>0.0743784116973112</v>
      </c>
      <c r="M272" s="5" t="s">
        <v>94</v>
      </c>
      <c r="N272" s="5" t="s">
        <v>45</v>
      </c>
      <c r="O272" s="5" t="s">
        <v>95</v>
      </c>
      <c r="P272" s="5" t="s">
        <v>96</v>
      </c>
      <c r="Q272" s="5" t="s">
        <v>83</v>
      </c>
    </row>
    <row r="273" ht="34" spans="1:17">
      <c r="A273" t="s">
        <v>97</v>
      </c>
      <c r="B273" t="s">
        <v>98</v>
      </c>
      <c r="C273" t="s">
        <v>56</v>
      </c>
      <c r="D273" t="s">
        <v>57</v>
      </c>
      <c r="E273" t="s">
        <v>55</v>
      </c>
      <c r="F273" s="12">
        <v>2800000000000000</v>
      </c>
      <c r="G273" s="12">
        <v>40000000000000</v>
      </c>
      <c r="H273" s="12">
        <v>157651688979856</v>
      </c>
      <c r="I273" s="12" t="s">
        <v>80</v>
      </c>
      <c r="J273" s="12" t="s">
        <v>81</v>
      </c>
      <c r="K273" s="12">
        <v>7289689917888.43</v>
      </c>
      <c r="L273" s="13">
        <v>0.0462392123107535</v>
      </c>
      <c r="M273" s="5" t="s">
        <v>94</v>
      </c>
      <c r="N273" s="5" t="s">
        <v>45</v>
      </c>
      <c r="O273" s="5" t="s">
        <v>95</v>
      </c>
      <c r="P273" s="5" t="s">
        <v>96</v>
      </c>
      <c r="Q273" s="5" t="s">
        <v>83</v>
      </c>
    </row>
    <row r="274" ht="34" spans="1:17">
      <c r="A274" t="s">
        <v>97</v>
      </c>
      <c r="B274" t="s">
        <v>98</v>
      </c>
      <c r="C274" t="s">
        <v>58</v>
      </c>
      <c r="D274" t="s">
        <v>59</v>
      </c>
      <c r="E274" t="s">
        <v>41</v>
      </c>
      <c r="F274" s="12">
        <v>2800000000000000</v>
      </c>
      <c r="G274" s="12">
        <v>40000000000000</v>
      </c>
      <c r="H274" s="12">
        <v>6065902655658620</v>
      </c>
      <c r="I274" s="12" t="s">
        <v>80</v>
      </c>
      <c r="J274" s="12" t="s">
        <v>81</v>
      </c>
      <c r="K274" s="12">
        <v>272131222529826</v>
      </c>
      <c r="L274" s="13">
        <v>0.0448624447139729</v>
      </c>
      <c r="M274" s="5" t="s">
        <v>94</v>
      </c>
      <c r="N274" s="5" t="s">
        <v>45</v>
      </c>
      <c r="O274" s="5" t="s">
        <v>95</v>
      </c>
      <c r="P274" s="5" t="s">
        <v>96</v>
      </c>
      <c r="Q274" s="5" t="s">
        <v>83</v>
      </c>
    </row>
    <row r="275" ht="34" spans="1:17">
      <c r="A275" t="s">
        <v>97</v>
      </c>
      <c r="B275" t="s">
        <v>98</v>
      </c>
      <c r="C275" t="s">
        <v>58</v>
      </c>
      <c r="D275" t="s">
        <v>59</v>
      </c>
      <c r="E275" t="s">
        <v>49</v>
      </c>
      <c r="F275" s="12">
        <v>2800000000000000</v>
      </c>
      <c r="G275" s="12">
        <v>40000000000000</v>
      </c>
      <c r="H275" s="12">
        <v>127301737549769</v>
      </c>
      <c r="I275" s="12" t="s">
        <v>80</v>
      </c>
      <c r="J275" s="12" t="s">
        <v>81</v>
      </c>
      <c r="K275" s="12">
        <v>7019368164803.17</v>
      </c>
      <c r="L275" s="13">
        <v>0.0551396100313159</v>
      </c>
      <c r="M275" s="5" t="s">
        <v>94</v>
      </c>
      <c r="N275" s="5" t="s">
        <v>45</v>
      </c>
      <c r="O275" s="5" t="s">
        <v>95</v>
      </c>
      <c r="P275" s="5" t="s">
        <v>96</v>
      </c>
      <c r="Q275" s="5" t="s">
        <v>83</v>
      </c>
    </row>
    <row r="276" ht="34" spans="1:17">
      <c r="A276" t="s">
        <v>97</v>
      </c>
      <c r="B276" t="s">
        <v>98</v>
      </c>
      <c r="C276" t="s">
        <v>58</v>
      </c>
      <c r="D276" t="s">
        <v>59</v>
      </c>
      <c r="E276" t="s">
        <v>50</v>
      </c>
      <c r="F276" s="12">
        <v>2800000000000000</v>
      </c>
      <c r="G276" s="12">
        <v>40000000000000</v>
      </c>
      <c r="H276" s="12">
        <v>256196594898499</v>
      </c>
      <c r="I276" s="12" t="s">
        <v>80</v>
      </c>
      <c r="J276" s="12" t="s">
        <v>81</v>
      </c>
      <c r="K276" s="12">
        <v>11834755119680.5</v>
      </c>
      <c r="L276" s="13">
        <v>0.0461940375295356</v>
      </c>
      <c r="M276" s="5" t="s">
        <v>94</v>
      </c>
      <c r="N276" s="5" t="s">
        <v>45</v>
      </c>
      <c r="O276" s="5" t="s">
        <v>95</v>
      </c>
      <c r="P276" s="5" t="s">
        <v>96</v>
      </c>
      <c r="Q276" s="5" t="s">
        <v>83</v>
      </c>
    </row>
    <row r="277" ht="34" spans="1:17">
      <c r="A277" t="s">
        <v>97</v>
      </c>
      <c r="B277" t="s">
        <v>98</v>
      </c>
      <c r="C277" t="s">
        <v>58</v>
      </c>
      <c r="D277" t="s">
        <v>59</v>
      </c>
      <c r="E277" t="s">
        <v>51</v>
      </c>
      <c r="F277" s="12">
        <v>2800000000000000</v>
      </c>
      <c r="G277" s="12">
        <v>40000000000000</v>
      </c>
      <c r="H277" s="12">
        <v>3404150095235550</v>
      </c>
      <c r="I277" s="12" t="s">
        <v>80</v>
      </c>
      <c r="J277" s="12" t="s">
        <v>81</v>
      </c>
      <c r="K277" s="12">
        <v>83774253241458.9</v>
      </c>
      <c r="L277" s="13">
        <v>0.0246094475560021</v>
      </c>
      <c r="M277" s="5" t="s">
        <v>94</v>
      </c>
      <c r="N277" s="5" t="s">
        <v>45</v>
      </c>
      <c r="O277" s="5" t="s">
        <v>95</v>
      </c>
      <c r="P277" s="5" t="s">
        <v>96</v>
      </c>
      <c r="Q277" s="5" t="s">
        <v>83</v>
      </c>
    </row>
    <row r="278" ht="34" spans="1:17">
      <c r="A278" t="s">
        <v>97</v>
      </c>
      <c r="B278" t="s">
        <v>98</v>
      </c>
      <c r="C278" t="s">
        <v>58</v>
      </c>
      <c r="D278" t="s">
        <v>59</v>
      </c>
      <c r="E278" t="s">
        <v>52</v>
      </c>
      <c r="F278" s="12">
        <v>2800000000000000</v>
      </c>
      <c r="G278" s="12">
        <v>40000000000000</v>
      </c>
      <c r="H278" s="12">
        <v>620957830199329</v>
      </c>
      <c r="I278" s="12" t="s">
        <v>80</v>
      </c>
      <c r="J278" s="12" t="s">
        <v>81</v>
      </c>
      <c r="K278" s="12">
        <v>35656383326748.4</v>
      </c>
      <c r="L278" s="13">
        <v>0.0574215858028597</v>
      </c>
      <c r="M278" s="5" t="s">
        <v>94</v>
      </c>
      <c r="N278" s="5" t="s">
        <v>45</v>
      </c>
      <c r="O278" s="5" t="s">
        <v>95</v>
      </c>
      <c r="P278" s="5" t="s">
        <v>96</v>
      </c>
      <c r="Q278" s="5" t="s">
        <v>83</v>
      </c>
    </row>
    <row r="279" ht="34" spans="1:17">
      <c r="A279" t="s">
        <v>97</v>
      </c>
      <c r="B279" t="s">
        <v>98</v>
      </c>
      <c r="C279" t="s">
        <v>58</v>
      </c>
      <c r="D279" t="s">
        <v>59</v>
      </c>
      <c r="E279" t="s">
        <v>53</v>
      </c>
      <c r="F279" s="12">
        <v>2800000000000000</v>
      </c>
      <c r="G279" s="12">
        <v>40000000000000</v>
      </c>
      <c r="H279" s="12">
        <v>5485913699169210</v>
      </c>
      <c r="I279" s="12" t="s">
        <v>80</v>
      </c>
      <c r="J279" s="12" t="s">
        <v>81</v>
      </c>
      <c r="K279" s="12">
        <v>244451335930546</v>
      </c>
      <c r="L279" s="13">
        <v>0.0445598216332797</v>
      </c>
      <c r="M279" s="5" t="s">
        <v>94</v>
      </c>
      <c r="N279" s="5" t="s">
        <v>45</v>
      </c>
      <c r="O279" s="5" t="s">
        <v>95</v>
      </c>
      <c r="P279" s="5" t="s">
        <v>96</v>
      </c>
      <c r="Q279" s="5" t="s">
        <v>83</v>
      </c>
    </row>
    <row r="280" ht="34" spans="1:17">
      <c r="A280" t="s">
        <v>97</v>
      </c>
      <c r="B280" t="s">
        <v>98</v>
      </c>
      <c r="C280" t="s">
        <v>58</v>
      </c>
      <c r="D280" t="s">
        <v>59</v>
      </c>
      <c r="E280" t="s">
        <v>54</v>
      </c>
      <c r="F280" s="12">
        <v>2800000000000000</v>
      </c>
      <c r="G280" s="12">
        <v>40000000000000</v>
      </c>
      <c r="H280" s="12">
        <v>6518554107347590</v>
      </c>
      <c r="I280" s="12" t="s">
        <v>80</v>
      </c>
      <c r="J280" s="12" t="s">
        <v>81</v>
      </c>
      <c r="K280" s="12">
        <v>301949841737871</v>
      </c>
      <c r="L280" s="13">
        <v>0.046321597821443</v>
      </c>
      <c r="M280" s="5" t="s">
        <v>94</v>
      </c>
      <c r="N280" s="5" t="s">
        <v>45</v>
      </c>
      <c r="O280" s="5" t="s">
        <v>95</v>
      </c>
      <c r="P280" s="5" t="s">
        <v>96</v>
      </c>
      <c r="Q280" s="5" t="s">
        <v>83</v>
      </c>
    </row>
    <row r="281" ht="34" spans="1:17">
      <c r="A281" t="s">
        <v>97</v>
      </c>
      <c r="B281" t="s">
        <v>98</v>
      </c>
      <c r="C281" t="s">
        <v>58</v>
      </c>
      <c r="D281" t="s">
        <v>59</v>
      </c>
      <c r="E281" t="s">
        <v>55</v>
      </c>
      <c r="F281" s="12">
        <v>2800000000000000</v>
      </c>
      <c r="G281" s="12">
        <v>40000000000000</v>
      </c>
      <c r="H281" s="12">
        <v>139136342839877</v>
      </c>
      <c r="I281" s="12" t="s">
        <v>80</v>
      </c>
      <c r="J281" s="12" t="s">
        <v>81</v>
      </c>
      <c r="K281" s="12">
        <v>7289689917888.43</v>
      </c>
      <c r="L281" s="13">
        <v>0.0523924214845695</v>
      </c>
      <c r="M281" s="5" t="s">
        <v>94</v>
      </c>
      <c r="N281" s="5" t="s">
        <v>45</v>
      </c>
      <c r="O281" s="5" t="s">
        <v>95</v>
      </c>
      <c r="P281" s="5" t="s">
        <v>96</v>
      </c>
      <c r="Q281" s="5" t="s">
        <v>83</v>
      </c>
    </row>
    <row r="282" ht="34" spans="1:17">
      <c r="A282" t="s">
        <v>97</v>
      </c>
      <c r="B282" t="s">
        <v>98</v>
      </c>
      <c r="C282" t="s">
        <v>60</v>
      </c>
      <c r="D282" t="s">
        <v>61</v>
      </c>
      <c r="E282" t="s">
        <v>41</v>
      </c>
      <c r="F282" s="12">
        <v>2800000000000000</v>
      </c>
      <c r="G282" s="12">
        <v>40000000000000</v>
      </c>
      <c r="H282" s="12">
        <v>5309293559033770</v>
      </c>
      <c r="I282" s="12" t="s">
        <v>80</v>
      </c>
      <c r="J282" s="12" t="s">
        <v>81</v>
      </c>
      <c r="K282" s="12">
        <v>272131222529826</v>
      </c>
      <c r="L282" s="13">
        <v>0.0512556368383123</v>
      </c>
      <c r="M282" s="5" t="s">
        <v>94</v>
      </c>
      <c r="N282" s="5" t="s">
        <v>45</v>
      </c>
      <c r="O282" s="5" t="s">
        <v>95</v>
      </c>
      <c r="P282" s="5" t="s">
        <v>96</v>
      </c>
      <c r="Q282" s="5" t="s">
        <v>83</v>
      </c>
    </row>
    <row r="283" ht="34" spans="1:17">
      <c r="A283" t="s">
        <v>97</v>
      </c>
      <c r="B283" t="s">
        <v>98</v>
      </c>
      <c r="C283" t="s">
        <v>60</v>
      </c>
      <c r="D283" t="s">
        <v>61</v>
      </c>
      <c r="E283" t="s">
        <v>49</v>
      </c>
      <c r="F283" s="12">
        <v>2800000000000000</v>
      </c>
      <c r="G283" s="12">
        <v>40000000000000</v>
      </c>
      <c r="H283" s="12">
        <v>165197451142439</v>
      </c>
      <c r="I283" s="12" t="s">
        <v>80</v>
      </c>
      <c r="J283" s="12" t="s">
        <v>81</v>
      </c>
      <c r="K283" s="12">
        <v>7019368164803.17</v>
      </c>
      <c r="L283" s="13">
        <v>0.0424907776497763</v>
      </c>
      <c r="M283" s="5" t="s">
        <v>94</v>
      </c>
      <c r="N283" s="5" t="s">
        <v>45</v>
      </c>
      <c r="O283" s="5" t="s">
        <v>95</v>
      </c>
      <c r="P283" s="5" t="s">
        <v>96</v>
      </c>
      <c r="Q283" s="5" t="s">
        <v>83</v>
      </c>
    </row>
    <row r="284" ht="34" spans="1:17">
      <c r="A284" t="s">
        <v>97</v>
      </c>
      <c r="B284" t="s">
        <v>98</v>
      </c>
      <c r="C284" t="s">
        <v>60</v>
      </c>
      <c r="D284" t="s">
        <v>61</v>
      </c>
      <c r="E284" t="s">
        <v>50</v>
      </c>
      <c r="F284" s="12">
        <v>2800000000000000</v>
      </c>
      <c r="G284" s="12">
        <v>40000000000000</v>
      </c>
      <c r="H284" s="12">
        <v>278951825783585</v>
      </c>
      <c r="I284" s="12" t="s">
        <v>80</v>
      </c>
      <c r="J284" s="12" t="s">
        <v>81</v>
      </c>
      <c r="K284" s="12">
        <v>11834755119680.5</v>
      </c>
      <c r="L284" s="13">
        <v>0.0424258026863106</v>
      </c>
      <c r="M284" s="5" t="s">
        <v>94</v>
      </c>
      <c r="N284" s="5" t="s">
        <v>45</v>
      </c>
      <c r="O284" s="5" t="s">
        <v>95</v>
      </c>
      <c r="P284" s="5" t="s">
        <v>96</v>
      </c>
      <c r="Q284" s="5" t="s">
        <v>83</v>
      </c>
    </row>
    <row r="285" ht="34" spans="1:17">
      <c r="A285" t="s">
        <v>97</v>
      </c>
      <c r="B285" t="s">
        <v>98</v>
      </c>
      <c r="C285" t="s">
        <v>60</v>
      </c>
      <c r="D285" t="s">
        <v>61</v>
      </c>
      <c r="E285" t="s">
        <v>51</v>
      </c>
      <c r="F285" s="12">
        <v>2800000000000000</v>
      </c>
      <c r="G285" s="12">
        <v>40000000000000</v>
      </c>
      <c r="H285" s="12">
        <v>2002290364323970</v>
      </c>
      <c r="I285" s="12" t="s">
        <v>80</v>
      </c>
      <c r="J285" s="12" t="s">
        <v>81</v>
      </c>
      <c r="K285" s="12">
        <v>83774253241458.9</v>
      </c>
      <c r="L285" s="13">
        <v>0.0418392131002156</v>
      </c>
      <c r="M285" s="5" t="s">
        <v>94</v>
      </c>
      <c r="N285" s="5" t="s">
        <v>45</v>
      </c>
      <c r="O285" s="5" t="s">
        <v>95</v>
      </c>
      <c r="P285" s="5" t="s">
        <v>96</v>
      </c>
      <c r="Q285" s="5" t="s">
        <v>83</v>
      </c>
    </row>
    <row r="286" ht="34" spans="1:17">
      <c r="A286" t="s">
        <v>97</v>
      </c>
      <c r="B286" t="s">
        <v>98</v>
      </c>
      <c r="C286" t="s">
        <v>60</v>
      </c>
      <c r="D286" t="s">
        <v>61</v>
      </c>
      <c r="E286" t="s">
        <v>52</v>
      </c>
      <c r="F286" s="12">
        <v>2800000000000000</v>
      </c>
      <c r="G286" s="12">
        <v>40000000000000</v>
      </c>
      <c r="H286" s="12">
        <v>839969911175715</v>
      </c>
      <c r="I286" s="12" t="s">
        <v>80</v>
      </c>
      <c r="J286" s="12" t="s">
        <v>81</v>
      </c>
      <c r="K286" s="12">
        <v>35656383326748.4</v>
      </c>
      <c r="L286" s="13">
        <v>0.0424495959347398</v>
      </c>
      <c r="M286" s="5" t="s">
        <v>94</v>
      </c>
      <c r="N286" s="5" t="s">
        <v>45</v>
      </c>
      <c r="O286" s="5" t="s">
        <v>95</v>
      </c>
      <c r="P286" s="5" t="s">
        <v>96</v>
      </c>
      <c r="Q286" s="5" t="s">
        <v>83</v>
      </c>
    </row>
    <row r="287" ht="34" spans="1:17">
      <c r="A287" t="s">
        <v>97</v>
      </c>
      <c r="B287" t="s">
        <v>98</v>
      </c>
      <c r="C287" t="s">
        <v>60</v>
      </c>
      <c r="D287" t="s">
        <v>61</v>
      </c>
      <c r="E287" t="s">
        <v>53</v>
      </c>
      <c r="F287" s="12">
        <v>2800000000000000</v>
      </c>
      <c r="G287" s="12">
        <v>40000000000000</v>
      </c>
      <c r="H287" s="12">
        <v>5749661669122330</v>
      </c>
      <c r="I287" s="12" t="s">
        <v>80</v>
      </c>
      <c r="J287" s="12" t="s">
        <v>81</v>
      </c>
      <c r="K287" s="12">
        <v>244451335930546</v>
      </c>
      <c r="L287" s="13">
        <v>0.0425157774488426</v>
      </c>
      <c r="M287" s="5" t="s">
        <v>94</v>
      </c>
      <c r="N287" s="5" t="s">
        <v>45</v>
      </c>
      <c r="O287" s="5" t="s">
        <v>95</v>
      </c>
      <c r="P287" s="5" t="s">
        <v>96</v>
      </c>
      <c r="Q287" s="5" t="s">
        <v>83</v>
      </c>
    </row>
    <row r="288" ht="34" spans="1:17">
      <c r="A288" t="s">
        <v>97</v>
      </c>
      <c r="B288" t="s">
        <v>98</v>
      </c>
      <c r="C288" t="s">
        <v>60</v>
      </c>
      <c r="D288" t="s">
        <v>61</v>
      </c>
      <c r="E288" t="s">
        <v>54</v>
      </c>
      <c r="F288" s="12">
        <v>2800000000000000</v>
      </c>
      <c r="G288" s="12">
        <v>40000000000000</v>
      </c>
      <c r="H288" s="12">
        <v>7099045538354270</v>
      </c>
      <c r="I288" s="12" t="s">
        <v>80</v>
      </c>
      <c r="J288" s="12" t="s">
        <v>81</v>
      </c>
      <c r="K288" s="12">
        <v>301949841737871</v>
      </c>
      <c r="L288" s="13">
        <v>0.0425338646028562</v>
      </c>
      <c r="M288" s="5" t="s">
        <v>94</v>
      </c>
      <c r="N288" s="5" t="s">
        <v>45</v>
      </c>
      <c r="O288" s="5" t="s">
        <v>95</v>
      </c>
      <c r="P288" s="5" t="s">
        <v>96</v>
      </c>
      <c r="Q288" s="5" t="s">
        <v>83</v>
      </c>
    </row>
    <row r="289" ht="34" spans="1:17">
      <c r="A289" t="s">
        <v>97</v>
      </c>
      <c r="B289" t="s">
        <v>98</v>
      </c>
      <c r="C289" t="s">
        <v>60</v>
      </c>
      <c r="D289" t="s">
        <v>61</v>
      </c>
      <c r="E289" t="s">
        <v>55</v>
      </c>
      <c r="F289" s="12">
        <v>2800000000000000</v>
      </c>
      <c r="G289" s="12">
        <v>40000000000000</v>
      </c>
      <c r="H289" s="12">
        <v>173045165207293</v>
      </c>
      <c r="I289" s="12" t="s">
        <v>80</v>
      </c>
      <c r="J289" s="12" t="s">
        <v>81</v>
      </c>
      <c r="K289" s="12">
        <v>7289689917888.43</v>
      </c>
      <c r="L289" s="13">
        <v>0.042125938099201</v>
      </c>
      <c r="M289" s="5" t="s">
        <v>94</v>
      </c>
      <c r="N289" s="5" t="s">
        <v>45</v>
      </c>
      <c r="O289" s="5" t="s">
        <v>95</v>
      </c>
      <c r="P289" s="5" t="s">
        <v>96</v>
      </c>
      <c r="Q289" s="5" t="s">
        <v>83</v>
      </c>
    </row>
    <row r="290" ht="34" spans="1:17">
      <c r="A290" t="s">
        <v>97</v>
      </c>
      <c r="B290" t="s">
        <v>98</v>
      </c>
      <c r="C290" t="s">
        <v>70</v>
      </c>
      <c r="D290" t="s">
        <v>71</v>
      </c>
      <c r="E290" t="s">
        <v>41</v>
      </c>
      <c r="F290" s="12">
        <v>2800000000000000</v>
      </c>
      <c r="G290" s="12">
        <v>40000000000000</v>
      </c>
      <c r="H290" s="12">
        <v>5069508969501470</v>
      </c>
      <c r="I290" s="12" t="s">
        <v>80</v>
      </c>
      <c r="J290" s="12" t="s">
        <v>81</v>
      </c>
      <c r="K290" s="12">
        <v>272131222529826</v>
      </c>
      <c r="L290" s="13">
        <v>0.053679996261371</v>
      </c>
      <c r="M290" s="5" t="s">
        <v>94</v>
      </c>
      <c r="N290" s="5" t="s">
        <v>45</v>
      </c>
      <c r="O290" s="5" t="s">
        <v>95</v>
      </c>
      <c r="P290" s="5" t="s">
        <v>96</v>
      </c>
      <c r="Q290" s="5" t="s">
        <v>83</v>
      </c>
    </row>
    <row r="291" ht="34" spans="1:17">
      <c r="A291" t="s">
        <v>97</v>
      </c>
      <c r="B291" t="s">
        <v>98</v>
      </c>
      <c r="C291" t="s">
        <v>70</v>
      </c>
      <c r="D291" t="s">
        <v>71</v>
      </c>
      <c r="E291" t="s">
        <v>49</v>
      </c>
      <c r="F291" s="12">
        <v>2800000000000000</v>
      </c>
      <c r="G291" s="12">
        <v>40000000000000</v>
      </c>
      <c r="H291" s="12">
        <v>172403479266128</v>
      </c>
      <c r="I291" s="12" t="s">
        <v>80</v>
      </c>
      <c r="J291" s="12" t="s">
        <v>81</v>
      </c>
      <c r="K291" s="12">
        <v>7019368164803.17</v>
      </c>
      <c r="L291" s="13">
        <v>0.0407147709238966</v>
      </c>
      <c r="M291" s="5" t="s">
        <v>94</v>
      </c>
      <c r="N291" s="5" t="s">
        <v>45</v>
      </c>
      <c r="O291" s="5" t="s">
        <v>95</v>
      </c>
      <c r="P291" s="5" t="s">
        <v>96</v>
      </c>
      <c r="Q291" s="5" t="s">
        <v>83</v>
      </c>
    </row>
    <row r="292" ht="34" spans="1:17">
      <c r="A292" t="s">
        <v>97</v>
      </c>
      <c r="B292" t="s">
        <v>98</v>
      </c>
      <c r="C292" t="s">
        <v>70</v>
      </c>
      <c r="D292" t="s">
        <v>71</v>
      </c>
      <c r="E292" t="s">
        <v>50</v>
      </c>
      <c r="F292" s="12">
        <v>2800000000000000</v>
      </c>
      <c r="G292" s="12">
        <v>40000000000000</v>
      </c>
      <c r="H292" s="12">
        <v>228793519287237</v>
      </c>
      <c r="I292" s="12" t="s">
        <v>80</v>
      </c>
      <c r="J292" s="12" t="s">
        <v>81</v>
      </c>
      <c r="K292" s="12">
        <v>11834755119680.5</v>
      </c>
      <c r="L292" s="13">
        <v>0.0517267934710276</v>
      </c>
      <c r="M292" s="5" t="s">
        <v>94</v>
      </c>
      <c r="N292" s="5" t="s">
        <v>45</v>
      </c>
      <c r="O292" s="5" t="s">
        <v>95</v>
      </c>
      <c r="P292" s="5" t="s">
        <v>96</v>
      </c>
      <c r="Q292" s="5" t="s">
        <v>83</v>
      </c>
    </row>
    <row r="293" ht="34" spans="1:17">
      <c r="A293" t="s">
        <v>97</v>
      </c>
      <c r="B293" t="s">
        <v>98</v>
      </c>
      <c r="C293" t="s">
        <v>70</v>
      </c>
      <c r="D293" t="s">
        <v>71</v>
      </c>
      <c r="E293" t="s">
        <v>51</v>
      </c>
      <c r="F293" s="12">
        <v>2800000000000000</v>
      </c>
      <c r="G293" s="12">
        <v>40000000000000</v>
      </c>
      <c r="H293" s="12">
        <v>1746945090517820</v>
      </c>
      <c r="I293" s="12" t="s">
        <v>80</v>
      </c>
      <c r="J293" s="12" t="s">
        <v>81</v>
      </c>
      <c r="K293" s="12">
        <v>83774253241458.9</v>
      </c>
      <c r="L293" s="13">
        <v>0.0479547146021784</v>
      </c>
      <c r="M293" s="5" t="s">
        <v>94</v>
      </c>
      <c r="N293" s="5" t="s">
        <v>45</v>
      </c>
      <c r="O293" s="5" t="s">
        <v>95</v>
      </c>
      <c r="P293" s="5" t="s">
        <v>96</v>
      </c>
      <c r="Q293" s="5" t="s">
        <v>83</v>
      </c>
    </row>
    <row r="294" ht="34" spans="1:17">
      <c r="A294" t="s">
        <v>97</v>
      </c>
      <c r="B294" t="s">
        <v>98</v>
      </c>
      <c r="C294" t="s">
        <v>70</v>
      </c>
      <c r="D294" t="s">
        <v>71</v>
      </c>
      <c r="E294" t="s">
        <v>52</v>
      </c>
      <c r="F294" s="12">
        <v>2800000000000000</v>
      </c>
      <c r="G294" s="12">
        <v>40000000000000</v>
      </c>
      <c r="H294" s="12">
        <v>787843846334229</v>
      </c>
      <c r="I294" s="12" t="s">
        <v>80</v>
      </c>
      <c r="J294" s="12" t="s">
        <v>81</v>
      </c>
      <c r="K294" s="12">
        <v>35656383326748.4</v>
      </c>
      <c r="L294" s="13">
        <v>0.0452581859878128</v>
      </c>
      <c r="M294" s="5" t="s">
        <v>94</v>
      </c>
      <c r="N294" s="5" t="s">
        <v>45</v>
      </c>
      <c r="O294" s="5" t="s">
        <v>95</v>
      </c>
      <c r="P294" s="5" t="s">
        <v>96</v>
      </c>
      <c r="Q294" s="5" t="s">
        <v>83</v>
      </c>
    </row>
    <row r="295" ht="34" spans="1:17">
      <c r="A295" t="s">
        <v>97</v>
      </c>
      <c r="B295" t="s">
        <v>98</v>
      </c>
      <c r="C295" t="s">
        <v>70</v>
      </c>
      <c r="D295" t="s">
        <v>71</v>
      </c>
      <c r="E295" t="s">
        <v>53</v>
      </c>
      <c r="F295" s="12">
        <v>2800000000000000</v>
      </c>
      <c r="G295" s="12">
        <v>40000000000000</v>
      </c>
      <c r="H295" s="12">
        <v>5579917202044030</v>
      </c>
      <c r="I295" s="12" t="s">
        <v>80</v>
      </c>
      <c r="J295" s="12" t="s">
        <v>81</v>
      </c>
      <c r="K295" s="12">
        <v>244451335930546</v>
      </c>
      <c r="L295" s="13">
        <v>0.0438091331966357</v>
      </c>
      <c r="M295" s="5" t="s">
        <v>94</v>
      </c>
      <c r="N295" s="5" t="s">
        <v>45</v>
      </c>
      <c r="O295" s="5" t="s">
        <v>95</v>
      </c>
      <c r="P295" s="5" t="s">
        <v>96</v>
      </c>
      <c r="Q295" s="5" t="s">
        <v>83</v>
      </c>
    </row>
    <row r="296" ht="34" spans="1:17">
      <c r="A296" t="s">
        <v>97</v>
      </c>
      <c r="B296" t="s">
        <v>98</v>
      </c>
      <c r="C296" t="s">
        <v>70</v>
      </c>
      <c r="D296" t="s">
        <v>71</v>
      </c>
      <c r="E296" t="s">
        <v>54</v>
      </c>
      <c r="F296" s="12">
        <v>2800000000000000</v>
      </c>
      <c r="G296" s="12">
        <v>40000000000000</v>
      </c>
      <c r="H296" s="12">
        <v>6889209499038160</v>
      </c>
      <c r="I296" s="12" t="s">
        <v>80</v>
      </c>
      <c r="J296" s="12" t="s">
        <v>81</v>
      </c>
      <c r="K296" s="12">
        <v>301949841737871</v>
      </c>
      <c r="L296" s="13">
        <v>0.0438293888115941</v>
      </c>
      <c r="M296" s="5" t="s">
        <v>94</v>
      </c>
      <c r="N296" s="5" t="s">
        <v>45</v>
      </c>
      <c r="O296" s="5" t="s">
        <v>95</v>
      </c>
      <c r="P296" s="5" t="s">
        <v>96</v>
      </c>
      <c r="Q296" s="5" t="s">
        <v>83</v>
      </c>
    </row>
    <row r="297" ht="34" spans="1:17">
      <c r="A297" t="s">
        <v>97</v>
      </c>
      <c r="B297" t="s">
        <v>98</v>
      </c>
      <c r="C297" t="s">
        <v>70</v>
      </c>
      <c r="D297" t="s">
        <v>71</v>
      </c>
      <c r="E297" t="s">
        <v>55</v>
      </c>
      <c r="F297" s="12">
        <v>2800000000000000</v>
      </c>
      <c r="G297" s="12">
        <v>40000000000000</v>
      </c>
      <c r="H297" s="12">
        <v>145639262132000</v>
      </c>
      <c r="I297" s="12" t="s">
        <v>80</v>
      </c>
      <c r="J297" s="12" t="s">
        <v>81</v>
      </c>
      <c r="K297" s="12">
        <v>7289689917888.43</v>
      </c>
      <c r="L297" s="13">
        <v>0.050053054452318</v>
      </c>
      <c r="M297" s="5" t="s">
        <v>94</v>
      </c>
      <c r="N297" s="5" t="s">
        <v>45</v>
      </c>
      <c r="O297" s="5" t="s">
        <v>95</v>
      </c>
      <c r="P297" s="5" t="s">
        <v>96</v>
      </c>
      <c r="Q297" s="5" t="s">
        <v>83</v>
      </c>
    </row>
    <row r="298" ht="34" spans="1:17">
      <c r="A298" t="s">
        <v>97</v>
      </c>
      <c r="B298" t="s">
        <v>98</v>
      </c>
      <c r="C298" t="s">
        <v>72</v>
      </c>
      <c r="D298" t="s">
        <v>73</v>
      </c>
      <c r="E298" t="s">
        <v>41</v>
      </c>
      <c r="F298" s="12">
        <v>2800000000000000</v>
      </c>
      <c r="G298" s="12">
        <v>40000000000000</v>
      </c>
      <c r="H298" s="12">
        <v>5309561221075640</v>
      </c>
      <c r="I298" s="12" t="s">
        <v>80</v>
      </c>
      <c r="J298" s="12" t="s">
        <v>81</v>
      </c>
      <c r="K298" s="12">
        <v>272131222529826</v>
      </c>
      <c r="L298" s="13">
        <v>0.051253052973499</v>
      </c>
      <c r="M298" s="5" t="s">
        <v>94</v>
      </c>
      <c r="N298" s="5" t="s">
        <v>45</v>
      </c>
      <c r="O298" s="5" t="s">
        <v>95</v>
      </c>
      <c r="P298" s="5" t="s">
        <v>96</v>
      </c>
      <c r="Q298" s="5" t="s">
        <v>83</v>
      </c>
    </row>
    <row r="299" ht="34" spans="1:17">
      <c r="A299" t="s">
        <v>97</v>
      </c>
      <c r="B299" t="s">
        <v>98</v>
      </c>
      <c r="C299" t="s">
        <v>72</v>
      </c>
      <c r="D299" t="s">
        <v>73</v>
      </c>
      <c r="E299" t="s">
        <v>49</v>
      </c>
      <c r="F299" s="12">
        <v>2800000000000000</v>
      </c>
      <c r="G299" s="12">
        <v>40000000000000</v>
      </c>
      <c r="H299" s="12">
        <v>130295899748313</v>
      </c>
      <c r="I299" s="12" t="s">
        <v>80</v>
      </c>
      <c r="J299" s="12" t="s">
        <v>81</v>
      </c>
      <c r="K299" s="12">
        <v>7019368164803.17</v>
      </c>
      <c r="L299" s="13">
        <v>0.0538725176952012</v>
      </c>
      <c r="M299" s="5" t="s">
        <v>94</v>
      </c>
      <c r="N299" s="5" t="s">
        <v>45</v>
      </c>
      <c r="O299" s="5" t="s">
        <v>95</v>
      </c>
      <c r="P299" s="5" t="s">
        <v>96</v>
      </c>
      <c r="Q299" s="5" t="s">
        <v>83</v>
      </c>
    </row>
    <row r="300" ht="34" spans="1:17">
      <c r="A300" t="s">
        <v>97</v>
      </c>
      <c r="B300" t="s">
        <v>98</v>
      </c>
      <c r="C300" t="s">
        <v>72</v>
      </c>
      <c r="D300" t="s">
        <v>73</v>
      </c>
      <c r="E300" t="s">
        <v>50</v>
      </c>
      <c r="F300" s="12">
        <v>2800000000000000</v>
      </c>
      <c r="G300" s="12">
        <v>40000000000000</v>
      </c>
      <c r="H300" s="12">
        <v>207575869414850</v>
      </c>
      <c r="I300" s="12" t="s">
        <v>80</v>
      </c>
      <c r="J300" s="12" t="s">
        <v>81</v>
      </c>
      <c r="K300" s="12">
        <v>11834755119680.5</v>
      </c>
      <c r="L300" s="13">
        <v>0.0570141180332872</v>
      </c>
      <c r="M300" s="5" t="s">
        <v>94</v>
      </c>
      <c r="N300" s="5" t="s">
        <v>45</v>
      </c>
      <c r="O300" s="5" t="s">
        <v>95</v>
      </c>
      <c r="P300" s="5" t="s">
        <v>96</v>
      </c>
      <c r="Q300" s="5" t="s">
        <v>83</v>
      </c>
    </row>
    <row r="301" ht="34" spans="1:17">
      <c r="A301" t="s">
        <v>97</v>
      </c>
      <c r="B301" t="s">
        <v>98</v>
      </c>
      <c r="C301" t="s">
        <v>72</v>
      </c>
      <c r="D301" t="s">
        <v>73</v>
      </c>
      <c r="E301" t="s">
        <v>51</v>
      </c>
      <c r="F301" s="12">
        <v>2800000000000000</v>
      </c>
      <c r="G301" s="12">
        <v>40000000000000</v>
      </c>
      <c r="H301" s="12">
        <v>1308278702021730</v>
      </c>
      <c r="I301" s="12" t="s">
        <v>80</v>
      </c>
      <c r="J301" s="12" t="s">
        <v>81</v>
      </c>
      <c r="K301" s="12">
        <v>83774253241458.9</v>
      </c>
      <c r="L301" s="13">
        <v>0.0640339501911937</v>
      </c>
      <c r="M301" s="5" t="s">
        <v>94</v>
      </c>
      <c r="N301" s="5" t="s">
        <v>45</v>
      </c>
      <c r="O301" s="5" t="s">
        <v>95</v>
      </c>
      <c r="P301" s="5" t="s">
        <v>96</v>
      </c>
      <c r="Q301" s="5" t="s">
        <v>83</v>
      </c>
    </row>
    <row r="302" ht="34" spans="1:17">
      <c r="A302" t="s">
        <v>97</v>
      </c>
      <c r="B302" t="s">
        <v>98</v>
      </c>
      <c r="C302" t="s">
        <v>72</v>
      </c>
      <c r="D302" t="s">
        <v>73</v>
      </c>
      <c r="E302" t="s">
        <v>52</v>
      </c>
      <c r="F302" s="12">
        <v>2800000000000000</v>
      </c>
      <c r="G302" s="12">
        <v>40000000000000</v>
      </c>
      <c r="H302" s="12">
        <v>668748018786850</v>
      </c>
      <c r="I302" s="12" t="s">
        <v>80</v>
      </c>
      <c r="J302" s="12" t="s">
        <v>81</v>
      </c>
      <c r="K302" s="12">
        <v>35656383326748.4</v>
      </c>
      <c r="L302" s="13">
        <v>0.0533181143346506</v>
      </c>
      <c r="M302" s="5" t="s">
        <v>94</v>
      </c>
      <c r="N302" s="5" t="s">
        <v>45</v>
      </c>
      <c r="O302" s="5" t="s">
        <v>95</v>
      </c>
      <c r="P302" s="5" t="s">
        <v>96</v>
      </c>
      <c r="Q302" s="5" t="s">
        <v>83</v>
      </c>
    </row>
    <row r="303" ht="34" spans="1:17">
      <c r="A303" t="s">
        <v>97</v>
      </c>
      <c r="B303" t="s">
        <v>98</v>
      </c>
      <c r="C303" t="s">
        <v>72</v>
      </c>
      <c r="D303" t="s">
        <v>73</v>
      </c>
      <c r="E303" t="s">
        <v>53</v>
      </c>
      <c r="F303" s="12">
        <v>2800000000000000</v>
      </c>
      <c r="G303" s="12">
        <v>40000000000000</v>
      </c>
      <c r="H303" s="12">
        <v>5056843727934960</v>
      </c>
      <c r="I303" s="12" t="s">
        <v>80</v>
      </c>
      <c r="J303" s="12" t="s">
        <v>81</v>
      </c>
      <c r="K303" s="12">
        <v>244451335930546</v>
      </c>
      <c r="L303" s="13">
        <v>0.0483406941330123</v>
      </c>
      <c r="M303" s="5" t="s">
        <v>94</v>
      </c>
      <c r="N303" s="5" t="s">
        <v>45</v>
      </c>
      <c r="O303" s="5" t="s">
        <v>95</v>
      </c>
      <c r="P303" s="5" t="s">
        <v>96</v>
      </c>
      <c r="Q303" s="5" t="s">
        <v>83</v>
      </c>
    </row>
    <row r="304" ht="34" spans="1:17">
      <c r="A304" t="s">
        <v>97</v>
      </c>
      <c r="B304" t="s">
        <v>98</v>
      </c>
      <c r="C304" t="s">
        <v>72</v>
      </c>
      <c r="D304" t="s">
        <v>73</v>
      </c>
      <c r="E304" t="s">
        <v>54</v>
      </c>
      <c r="F304" s="12">
        <v>2800000000000000</v>
      </c>
      <c r="G304" s="12">
        <v>40000000000000</v>
      </c>
      <c r="H304" s="12">
        <v>6671715028052620</v>
      </c>
      <c r="I304" s="12" t="s">
        <v>80</v>
      </c>
      <c r="J304" s="12" t="s">
        <v>81</v>
      </c>
      <c r="K304" s="12">
        <v>301949841737871</v>
      </c>
      <c r="L304" s="13">
        <v>0.0452582042950365</v>
      </c>
      <c r="M304" s="5" t="s">
        <v>94</v>
      </c>
      <c r="N304" s="5" t="s">
        <v>45</v>
      </c>
      <c r="O304" s="5" t="s">
        <v>95</v>
      </c>
      <c r="P304" s="5" t="s">
        <v>96</v>
      </c>
      <c r="Q304" s="5" t="s">
        <v>83</v>
      </c>
    </row>
    <row r="305" ht="34" spans="1:17">
      <c r="A305" t="s">
        <v>97</v>
      </c>
      <c r="B305" t="s">
        <v>98</v>
      </c>
      <c r="C305" t="s">
        <v>72</v>
      </c>
      <c r="D305" t="s">
        <v>73</v>
      </c>
      <c r="E305" t="s">
        <v>55</v>
      </c>
      <c r="F305" s="12">
        <v>2800000000000000</v>
      </c>
      <c r="G305" s="12">
        <v>40000000000000</v>
      </c>
      <c r="H305" s="12">
        <v>138245275155452</v>
      </c>
      <c r="I305" s="12" t="s">
        <v>80</v>
      </c>
      <c r="J305" s="12" t="s">
        <v>81</v>
      </c>
      <c r="K305" s="12">
        <v>7289689917888.43</v>
      </c>
      <c r="L305" s="13">
        <v>0.0527301197794387</v>
      </c>
      <c r="M305" s="5" t="s">
        <v>94</v>
      </c>
      <c r="N305" s="5" t="s">
        <v>45</v>
      </c>
      <c r="O305" s="5" t="s">
        <v>95</v>
      </c>
      <c r="P305" s="5" t="s">
        <v>96</v>
      </c>
      <c r="Q305" s="5" t="s">
        <v>83</v>
      </c>
    </row>
    <row r="306" ht="34" spans="1:17">
      <c r="A306" t="s">
        <v>97</v>
      </c>
      <c r="B306" t="s">
        <v>98</v>
      </c>
      <c r="C306" t="s">
        <v>74</v>
      </c>
      <c r="D306" t="s">
        <v>75</v>
      </c>
      <c r="E306" t="s">
        <v>41</v>
      </c>
      <c r="F306" s="12">
        <v>2800000000000000</v>
      </c>
      <c r="G306" s="12">
        <v>40000000000000</v>
      </c>
      <c r="H306" s="12">
        <v>5088874170966130</v>
      </c>
      <c r="I306" s="12" t="s">
        <v>80</v>
      </c>
      <c r="J306" s="12" t="s">
        <v>81</v>
      </c>
      <c r="K306" s="12">
        <v>272131222529826</v>
      </c>
      <c r="L306" s="13">
        <v>0.053475722406821</v>
      </c>
      <c r="M306" s="5" t="s">
        <v>94</v>
      </c>
      <c r="N306" s="5" t="s">
        <v>45</v>
      </c>
      <c r="O306" s="5" t="s">
        <v>95</v>
      </c>
      <c r="P306" s="5" t="s">
        <v>96</v>
      </c>
      <c r="Q306" s="5" t="s">
        <v>83</v>
      </c>
    </row>
    <row r="307" ht="34" spans="1:17">
      <c r="A307" t="s">
        <v>97</v>
      </c>
      <c r="B307" t="s">
        <v>98</v>
      </c>
      <c r="C307" t="s">
        <v>74</v>
      </c>
      <c r="D307" t="s">
        <v>75</v>
      </c>
      <c r="E307" t="s">
        <v>49</v>
      </c>
      <c r="F307" s="12">
        <v>2800000000000000</v>
      </c>
      <c r="G307" s="12">
        <v>40000000000000</v>
      </c>
      <c r="H307" s="12">
        <v>111327033104088</v>
      </c>
      <c r="I307" s="12" t="s">
        <v>80</v>
      </c>
      <c r="J307" s="12" t="s">
        <v>81</v>
      </c>
      <c r="K307" s="12">
        <v>7019368164803.17</v>
      </c>
      <c r="L307" s="13">
        <v>0.0630517850793725</v>
      </c>
      <c r="M307" s="5" t="s">
        <v>94</v>
      </c>
      <c r="N307" s="5" t="s">
        <v>45</v>
      </c>
      <c r="O307" s="5" t="s">
        <v>95</v>
      </c>
      <c r="P307" s="5" t="s">
        <v>96</v>
      </c>
      <c r="Q307" s="5" t="s">
        <v>83</v>
      </c>
    </row>
    <row r="308" ht="34" spans="1:17">
      <c r="A308" t="s">
        <v>97</v>
      </c>
      <c r="B308" t="s">
        <v>98</v>
      </c>
      <c r="C308" t="s">
        <v>74</v>
      </c>
      <c r="D308" t="s">
        <v>75</v>
      </c>
      <c r="E308" t="s">
        <v>50</v>
      </c>
      <c r="F308" s="12">
        <v>2800000000000000</v>
      </c>
      <c r="G308" s="12">
        <v>40000000000000</v>
      </c>
      <c r="H308" s="12">
        <v>167779598826766</v>
      </c>
      <c r="I308" s="12" t="s">
        <v>80</v>
      </c>
      <c r="J308" s="12" t="s">
        <v>81</v>
      </c>
      <c r="K308" s="12">
        <v>11834755119680.5</v>
      </c>
      <c r="L308" s="13">
        <v>0.0705375099382612</v>
      </c>
      <c r="M308" s="5" t="s">
        <v>94</v>
      </c>
      <c r="N308" s="5" t="s">
        <v>45</v>
      </c>
      <c r="O308" s="5" t="s">
        <v>95</v>
      </c>
      <c r="P308" s="5" t="s">
        <v>96</v>
      </c>
      <c r="Q308" s="5" t="s">
        <v>83</v>
      </c>
    </row>
    <row r="309" ht="34" spans="1:17">
      <c r="A309" t="s">
        <v>97</v>
      </c>
      <c r="B309" t="s">
        <v>98</v>
      </c>
      <c r="C309" t="s">
        <v>74</v>
      </c>
      <c r="D309" t="s">
        <v>75</v>
      </c>
      <c r="E309" t="s">
        <v>51</v>
      </c>
      <c r="F309" s="12">
        <v>2800000000000000</v>
      </c>
      <c r="G309" s="12">
        <v>40000000000000</v>
      </c>
      <c r="H309" s="12">
        <v>596404951997636</v>
      </c>
      <c r="I309" s="12" t="s">
        <v>80</v>
      </c>
      <c r="J309" s="12" t="s">
        <v>81</v>
      </c>
      <c r="K309" s="12">
        <v>83774253241458.9</v>
      </c>
      <c r="L309" s="13">
        <v>0.140465388425868</v>
      </c>
      <c r="M309" s="5" t="s">
        <v>94</v>
      </c>
      <c r="N309" s="5" t="s">
        <v>45</v>
      </c>
      <c r="O309" s="5" t="s">
        <v>95</v>
      </c>
      <c r="P309" s="5" t="s">
        <v>96</v>
      </c>
      <c r="Q309" s="5" t="s">
        <v>83</v>
      </c>
    </row>
    <row r="310" ht="34" spans="1:17">
      <c r="A310" t="s">
        <v>97</v>
      </c>
      <c r="B310" t="s">
        <v>98</v>
      </c>
      <c r="C310" t="s">
        <v>74</v>
      </c>
      <c r="D310" t="s">
        <v>75</v>
      </c>
      <c r="E310" t="s">
        <v>52</v>
      </c>
      <c r="F310" s="12">
        <v>2800000000000000</v>
      </c>
      <c r="G310" s="12">
        <v>40000000000000</v>
      </c>
      <c r="H310" s="12">
        <v>593775636812909</v>
      </c>
      <c r="I310" s="12" t="s">
        <v>80</v>
      </c>
      <c r="J310" s="12" t="s">
        <v>81</v>
      </c>
      <c r="K310" s="12">
        <v>35656383326748.4</v>
      </c>
      <c r="L310" s="13">
        <v>0.0600502632915928</v>
      </c>
      <c r="M310" s="5" t="s">
        <v>94</v>
      </c>
      <c r="N310" s="5" t="s">
        <v>45</v>
      </c>
      <c r="O310" s="5" t="s">
        <v>95</v>
      </c>
      <c r="P310" s="5" t="s">
        <v>96</v>
      </c>
      <c r="Q310" s="5" t="s">
        <v>83</v>
      </c>
    </row>
    <row r="311" ht="34" spans="1:17">
      <c r="A311" t="s">
        <v>97</v>
      </c>
      <c r="B311" t="s">
        <v>98</v>
      </c>
      <c r="C311" t="s">
        <v>74</v>
      </c>
      <c r="D311" t="s">
        <v>75</v>
      </c>
      <c r="E311" t="s">
        <v>53</v>
      </c>
      <c r="F311" s="12">
        <v>2800000000000000</v>
      </c>
      <c r="G311" s="12">
        <v>40000000000000</v>
      </c>
      <c r="H311" s="12">
        <v>4654656006709300</v>
      </c>
      <c r="I311" s="12" t="s">
        <v>80</v>
      </c>
      <c r="J311" s="12" t="s">
        <v>81</v>
      </c>
      <c r="K311" s="12">
        <v>244451335930546</v>
      </c>
      <c r="L311" s="13">
        <v>0.0525175943352611</v>
      </c>
      <c r="M311" s="5" t="s">
        <v>94</v>
      </c>
      <c r="N311" s="5" t="s">
        <v>45</v>
      </c>
      <c r="O311" s="5" t="s">
        <v>95</v>
      </c>
      <c r="P311" s="5" t="s">
        <v>96</v>
      </c>
      <c r="Q311" s="5" t="s">
        <v>83</v>
      </c>
    </row>
    <row r="312" ht="34" spans="1:17">
      <c r="A312" t="s">
        <v>97</v>
      </c>
      <c r="B312" t="s">
        <v>98</v>
      </c>
      <c r="C312" t="s">
        <v>74</v>
      </c>
      <c r="D312" t="s">
        <v>75</v>
      </c>
      <c r="E312" t="s">
        <v>54</v>
      </c>
      <c r="F312" s="12">
        <v>2800000000000000</v>
      </c>
      <c r="G312" s="12">
        <v>40000000000000</v>
      </c>
      <c r="H312" s="12">
        <v>6475188041408500</v>
      </c>
      <c r="I312" s="12" t="s">
        <v>80</v>
      </c>
      <c r="J312" s="12" t="s">
        <v>81</v>
      </c>
      <c r="K312" s="12">
        <v>301949841737871</v>
      </c>
      <c r="L312" s="13">
        <v>0.0466318259495966</v>
      </c>
      <c r="M312" s="5" t="s">
        <v>94</v>
      </c>
      <c r="N312" s="5" t="s">
        <v>45</v>
      </c>
      <c r="O312" s="5" t="s">
        <v>95</v>
      </c>
      <c r="P312" s="5" t="s">
        <v>96</v>
      </c>
      <c r="Q312" s="5" t="s">
        <v>83</v>
      </c>
    </row>
    <row r="313" ht="34" spans="1:17">
      <c r="A313" t="s">
        <v>97</v>
      </c>
      <c r="B313" t="s">
        <v>98</v>
      </c>
      <c r="C313" t="s">
        <v>74</v>
      </c>
      <c r="D313" t="s">
        <v>75</v>
      </c>
      <c r="E313" t="s">
        <v>55</v>
      </c>
      <c r="F313" s="12">
        <v>2800000000000000</v>
      </c>
      <c r="G313" s="12">
        <v>40000000000000</v>
      </c>
      <c r="H313" s="12">
        <v>114464820910769</v>
      </c>
      <c r="I313" s="12" t="s">
        <v>80</v>
      </c>
      <c r="J313" s="12" t="s">
        <v>81</v>
      </c>
      <c r="K313" s="12">
        <v>7289689917888.43</v>
      </c>
      <c r="L313" s="13">
        <v>0.0636849807642745</v>
      </c>
      <c r="M313" s="5" t="s">
        <v>94</v>
      </c>
      <c r="N313" s="5" t="s">
        <v>45</v>
      </c>
      <c r="O313" s="5" t="s">
        <v>95</v>
      </c>
      <c r="P313" s="5" t="s">
        <v>96</v>
      </c>
      <c r="Q313" s="5" t="s">
        <v>83</v>
      </c>
    </row>
    <row r="314" ht="34" spans="1:17">
      <c r="A314" t="s">
        <v>97</v>
      </c>
      <c r="B314" t="s">
        <v>98</v>
      </c>
      <c r="C314" t="s">
        <v>76</v>
      </c>
      <c r="D314" t="s">
        <v>77</v>
      </c>
      <c r="E314" t="s">
        <v>41</v>
      </c>
      <c r="F314" s="12">
        <v>2800000000000000</v>
      </c>
      <c r="G314" s="12">
        <v>40000000000000</v>
      </c>
      <c r="H314" s="12">
        <v>6148871436228150</v>
      </c>
      <c r="I314" s="12" t="s">
        <v>80</v>
      </c>
      <c r="J314" s="12" t="s">
        <v>81</v>
      </c>
      <c r="K314" s="12">
        <v>272131222529826</v>
      </c>
      <c r="L314" s="13">
        <v>0.0442571007301393</v>
      </c>
      <c r="M314" s="5" t="s">
        <v>94</v>
      </c>
      <c r="N314" s="5" t="s">
        <v>45</v>
      </c>
      <c r="O314" s="5" t="s">
        <v>95</v>
      </c>
      <c r="P314" s="5" t="s">
        <v>96</v>
      </c>
      <c r="Q314" s="5" t="s">
        <v>83</v>
      </c>
    </row>
    <row r="315" ht="34" spans="1:17">
      <c r="A315" t="s">
        <v>97</v>
      </c>
      <c r="B315" t="s">
        <v>98</v>
      </c>
      <c r="C315" t="s">
        <v>76</v>
      </c>
      <c r="D315" t="s">
        <v>77</v>
      </c>
      <c r="E315" t="s">
        <v>49</v>
      </c>
      <c r="F315" s="12">
        <v>2800000000000000</v>
      </c>
      <c r="G315" s="12">
        <v>40000000000000</v>
      </c>
      <c r="H315" s="12">
        <v>77792047486808.7</v>
      </c>
      <c r="I315" s="12" t="s">
        <v>80</v>
      </c>
      <c r="J315" s="12" t="s">
        <v>81</v>
      </c>
      <c r="K315" s="12">
        <v>7019368164803.17</v>
      </c>
      <c r="L315" s="13">
        <v>0.0902324645201484</v>
      </c>
      <c r="M315" s="5" t="s">
        <v>94</v>
      </c>
      <c r="N315" s="5" t="s">
        <v>45</v>
      </c>
      <c r="O315" s="5" t="s">
        <v>95</v>
      </c>
      <c r="P315" s="5" t="s">
        <v>96</v>
      </c>
      <c r="Q315" s="5" t="s">
        <v>83</v>
      </c>
    </row>
    <row r="316" ht="34" spans="1:17">
      <c r="A316" t="s">
        <v>97</v>
      </c>
      <c r="B316" t="s">
        <v>98</v>
      </c>
      <c r="C316" t="s">
        <v>76</v>
      </c>
      <c r="D316" t="s">
        <v>77</v>
      </c>
      <c r="E316" t="s">
        <v>50</v>
      </c>
      <c r="F316" s="12">
        <v>2800000000000000</v>
      </c>
      <c r="G316" s="12">
        <v>40000000000000</v>
      </c>
      <c r="H316" s="12">
        <v>181743750296569</v>
      </c>
      <c r="I316" s="12" t="s">
        <v>80</v>
      </c>
      <c r="J316" s="12" t="s">
        <v>81</v>
      </c>
      <c r="K316" s="12">
        <v>11834755119680.5</v>
      </c>
      <c r="L316" s="13">
        <v>0.0651178106557643</v>
      </c>
      <c r="M316" s="5" t="s">
        <v>94</v>
      </c>
      <c r="N316" s="5" t="s">
        <v>45</v>
      </c>
      <c r="O316" s="5" t="s">
        <v>95</v>
      </c>
      <c r="P316" s="5" t="s">
        <v>96</v>
      </c>
      <c r="Q316" s="5" t="s">
        <v>83</v>
      </c>
    </row>
    <row r="317" ht="34" spans="1:17">
      <c r="A317" t="s">
        <v>97</v>
      </c>
      <c r="B317" t="s">
        <v>98</v>
      </c>
      <c r="C317" t="s">
        <v>76</v>
      </c>
      <c r="D317" t="s">
        <v>77</v>
      </c>
      <c r="E317" t="s">
        <v>51</v>
      </c>
      <c r="F317" s="12">
        <v>2800000000000000</v>
      </c>
      <c r="G317" s="12">
        <v>40000000000000</v>
      </c>
      <c r="H317" s="12">
        <v>4039635274404410</v>
      </c>
      <c r="I317" s="12" t="s">
        <v>80</v>
      </c>
      <c r="J317" s="12" t="s">
        <v>81</v>
      </c>
      <c r="K317" s="12">
        <v>83774253241458.9</v>
      </c>
      <c r="L317" s="13">
        <v>0.0207380735018981</v>
      </c>
      <c r="M317" s="5" t="s">
        <v>94</v>
      </c>
      <c r="N317" s="5" t="s">
        <v>45</v>
      </c>
      <c r="O317" s="5" t="s">
        <v>95</v>
      </c>
      <c r="P317" s="5" t="s">
        <v>96</v>
      </c>
      <c r="Q317" s="5" t="s">
        <v>83</v>
      </c>
    </row>
    <row r="318" ht="34" spans="1:17">
      <c r="A318" t="s">
        <v>97</v>
      </c>
      <c r="B318" t="s">
        <v>98</v>
      </c>
      <c r="C318" t="s">
        <v>76</v>
      </c>
      <c r="D318" t="s">
        <v>77</v>
      </c>
      <c r="E318" t="s">
        <v>52</v>
      </c>
      <c r="F318" s="12">
        <v>2800000000000000</v>
      </c>
      <c r="G318" s="12">
        <v>40000000000000</v>
      </c>
      <c r="H318" s="12">
        <v>509082371494365</v>
      </c>
      <c r="I318" s="12" t="s">
        <v>80</v>
      </c>
      <c r="J318" s="12" t="s">
        <v>81</v>
      </c>
      <c r="K318" s="12">
        <v>35656383326748.4</v>
      </c>
      <c r="L318" s="13">
        <v>0.0700404989905313</v>
      </c>
      <c r="M318" s="5" t="s">
        <v>94</v>
      </c>
      <c r="N318" s="5" t="s">
        <v>45</v>
      </c>
      <c r="O318" s="5" t="s">
        <v>95</v>
      </c>
      <c r="P318" s="5" t="s">
        <v>96</v>
      </c>
      <c r="Q318" s="5" t="s">
        <v>83</v>
      </c>
    </row>
    <row r="319" ht="34" spans="1:17">
      <c r="A319" t="s">
        <v>97</v>
      </c>
      <c r="B319" t="s">
        <v>98</v>
      </c>
      <c r="C319" t="s">
        <v>76</v>
      </c>
      <c r="D319" t="s">
        <v>77</v>
      </c>
      <c r="E319" t="s">
        <v>53</v>
      </c>
      <c r="F319" s="12">
        <v>2800000000000000</v>
      </c>
      <c r="G319" s="12">
        <v>40000000000000</v>
      </c>
      <c r="H319" s="12">
        <v>3054502430914150</v>
      </c>
      <c r="I319" s="12" t="s">
        <v>80</v>
      </c>
      <c r="J319" s="12" t="s">
        <v>81</v>
      </c>
      <c r="K319" s="12">
        <v>244451335930546</v>
      </c>
      <c r="L319" s="13">
        <v>0.0800298383974067</v>
      </c>
      <c r="M319" s="5" t="s">
        <v>94</v>
      </c>
      <c r="N319" s="5" t="s">
        <v>45</v>
      </c>
      <c r="O319" s="5" t="s">
        <v>95</v>
      </c>
      <c r="P319" s="5" t="s">
        <v>96</v>
      </c>
      <c r="Q319" s="5" t="s">
        <v>83</v>
      </c>
    </row>
    <row r="320" ht="34" spans="1:17">
      <c r="A320" t="s">
        <v>97</v>
      </c>
      <c r="B320" t="s">
        <v>98</v>
      </c>
      <c r="C320" t="s">
        <v>76</v>
      </c>
      <c r="D320" t="s">
        <v>77</v>
      </c>
      <c r="E320" t="s">
        <v>54</v>
      </c>
      <c r="F320" s="12">
        <v>2800000000000000</v>
      </c>
      <c r="G320" s="12">
        <v>40000000000000</v>
      </c>
      <c r="H320" s="12">
        <v>4618924326463480</v>
      </c>
      <c r="I320" s="12" t="s">
        <v>80</v>
      </c>
      <c r="J320" s="12" t="s">
        <v>81</v>
      </c>
      <c r="K320" s="12">
        <v>301949841737871</v>
      </c>
      <c r="L320" s="13">
        <v>0.0653723292256363</v>
      </c>
      <c r="M320" s="5" t="s">
        <v>94</v>
      </c>
      <c r="N320" s="5" t="s">
        <v>45</v>
      </c>
      <c r="O320" s="5" t="s">
        <v>95</v>
      </c>
      <c r="P320" s="5" t="s">
        <v>96</v>
      </c>
      <c r="Q320" s="5" t="s">
        <v>83</v>
      </c>
    </row>
    <row r="321" ht="34" spans="1:17">
      <c r="A321" t="s">
        <v>97</v>
      </c>
      <c r="B321" t="s">
        <v>98</v>
      </c>
      <c r="C321" t="s">
        <v>76</v>
      </c>
      <c r="D321" t="s">
        <v>77</v>
      </c>
      <c r="E321" t="s">
        <v>55</v>
      </c>
      <c r="F321" s="12">
        <v>2800000000000000</v>
      </c>
      <c r="G321" s="12">
        <v>40000000000000</v>
      </c>
      <c r="H321" s="12">
        <v>101113343868380</v>
      </c>
      <c r="I321" s="12" t="s">
        <v>80</v>
      </c>
      <c r="J321" s="12" t="s">
        <v>81</v>
      </c>
      <c r="K321" s="12">
        <v>7289689917888.43</v>
      </c>
      <c r="L321" s="13">
        <v>0.072094242352201</v>
      </c>
      <c r="M321" s="5" t="s">
        <v>94</v>
      </c>
      <c r="N321" s="5" t="s">
        <v>45</v>
      </c>
      <c r="O321" s="5" t="s">
        <v>95</v>
      </c>
      <c r="P321" s="5" t="s">
        <v>96</v>
      </c>
      <c r="Q321" s="5" t="s">
        <v>83</v>
      </c>
    </row>
    <row r="322" ht="17" spans="1:17">
      <c r="A322" t="s">
        <v>99</v>
      </c>
      <c r="B322" t="s">
        <v>100</v>
      </c>
      <c r="C322" t="s">
        <v>39</v>
      </c>
      <c r="D322" t="s">
        <v>40</v>
      </c>
      <c r="E322" t="s">
        <v>41</v>
      </c>
      <c r="F322" s="12">
        <v>2800000000000000</v>
      </c>
      <c r="G322" s="12">
        <v>40000000000000</v>
      </c>
      <c r="H322" s="12">
        <v>2961871991802.57</v>
      </c>
      <c r="I322" s="12" t="s">
        <v>88</v>
      </c>
      <c r="J322" s="12" t="s">
        <v>88</v>
      </c>
      <c r="K322" s="12"/>
      <c r="L322" s="13"/>
      <c r="M322" s="5" t="s">
        <v>68</v>
      </c>
      <c r="N322" s="5" t="s">
        <v>45</v>
      </c>
      <c r="O322" s="5" t="s">
        <v>89</v>
      </c>
      <c r="P322" s="5" t="s">
        <v>47</v>
      </c>
      <c r="Q322" s="5" t="s">
        <v>90</v>
      </c>
    </row>
    <row r="323" ht="17" spans="1:17">
      <c r="A323" t="s">
        <v>99</v>
      </c>
      <c r="B323" t="s">
        <v>100</v>
      </c>
      <c r="C323" t="s">
        <v>39</v>
      </c>
      <c r="D323" t="s">
        <v>40</v>
      </c>
      <c r="E323" t="s">
        <v>49</v>
      </c>
      <c r="F323" s="12">
        <v>2800000000000000</v>
      </c>
      <c r="G323" s="12">
        <v>40000000000000</v>
      </c>
      <c r="H323" s="12">
        <v>46590093427425.1</v>
      </c>
      <c r="I323" s="12" t="s">
        <v>88</v>
      </c>
      <c r="J323" s="12" t="s">
        <v>88</v>
      </c>
      <c r="K323" s="12"/>
      <c r="L323" s="13"/>
      <c r="M323" s="5" t="s">
        <v>68</v>
      </c>
      <c r="N323" s="5" t="s">
        <v>45</v>
      </c>
      <c r="O323" s="5" t="s">
        <v>89</v>
      </c>
      <c r="P323" s="5" t="s">
        <v>47</v>
      </c>
      <c r="Q323" s="5" t="s">
        <v>90</v>
      </c>
    </row>
    <row r="324" ht="17" spans="1:17">
      <c r="A324" t="s">
        <v>99</v>
      </c>
      <c r="B324" t="s">
        <v>100</v>
      </c>
      <c r="C324" t="s">
        <v>39</v>
      </c>
      <c r="D324" t="s">
        <v>40</v>
      </c>
      <c r="E324" t="s">
        <v>50</v>
      </c>
      <c r="F324" s="12">
        <v>2800000000000000</v>
      </c>
      <c r="G324" s="12">
        <v>40000000000000</v>
      </c>
      <c r="H324" s="12">
        <v>120356220346204</v>
      </c>
      <c r="I324" s="12" t="s">
        <v>88</v>
      </c>
      <c r="J324" s="12" t="s">
        <v>88</v>
      </c>
      <c r="K324" s="12"/>
      <c r="L324" s="13"/>
      <c r="M324" s="5" t="s">
        <v>68</v>
      </c>
      <c r="N324" s="5" t="s">
        <v>45</v>
      </c>
      <c r="O324" s="5" t="s">
        <v>89</v>
      </c>
      <c r="P324" s="5" t="s">
        <v>47</v>
      </c>
      <c r="Q324" s="5" t="s">
        <v>90</v>
      </c>
    </row>
    <row r="325" ht="17" spans="1:17">
      <c r="A325" t="s">
        <v>99</v>
      </c>
      <c r="B325" t="s">
        <v>100</v>
      </c>
      <c r="C325" t="s">
        <v>39</v>
      </c>
      <c r="D325" t="s">
        <v>40</v>
      </c>
      <c r="E325" t="s">
        <v>51</v>
      </c>
      <c r="F325" s="12">
        <v>2800000000000000</v>
      </c>
      <c r="G325" s="12">
        <v>40000000000000</v>
      </c>
      <c r="H325" s="12">
        <v>622038452213155</v>
      </c>
      <c r="I325" s="12" t="s">
        <v>88</v>
      </c>
      <c r="J325" s="12" t="s">
        <v>88</v>
      </c>
      <c r="K325" s="12"/>
      <c r="L325" s="13"/>
      <c r="M325" s="5" t="s">
        <v>68</v>
      </c>
      <c r="N325" s="5" t="s">
        <v>45</v>
      </c>
      <c r="O325" s="5" t="s">
        <v>89</v>
      </c>
      <c r="P325" s="5" t="s">
        <v>47</v>
      </c>
      <c r="Q325" s="5" t="s">
        <v>90</v>
      </c>
    </row>
    <row r="326" ht="17" spans="1:17">
      <c r="A326" t="s">
        <v>99</v>
      </c>
      <c r="B326" t="s">
        <v>100</v>
      </c>
      <c r="C326" t="s">
        <v>39</v>
      </c>
      <c r="D326" t="s">
        <v>40</v>
      </c>
      <c r="E326" t="s">
        <v>52</v>
      </c>
      <c r="F326" s="12">
        <v>2800000000000000</v>
      </c>
      <c r="G326" s="12">
        <v>40000000000000</v>
      </c>
      <c r="H326" s="12">
        <v>4.24464641183567e+16</v>
      </c>
      <c r="I326" s="12" t="s">
        <v>88</v>
      </c>
      <c r="J326" s="12" t="s">
        <v>88</v>
      </c>
      <c r="K326" s="12"/>
      <c r="L326" s="13"/>
      <c r="M326" s="5" t="s">
        <v>68</v>
      </c>
      <c r="N326" s="5" t="s">
        <v>45</v>
      </c>
      <c r="O326" s="5" t="s">
        <v>89</v>
      </c>
      <c r="P326" s="5" t="s">
        <v>47</v>
      </c>
      <c r="Q326" s="5" t="s">
        <v>90</v>
      </c>
    </row>
    <row r="327" ht="17" spans="1:17">
      <c r="A327" t="s">
        <v>99</v>
      </c>
      <c r="B327" t="s">
        <v>100</v>
      </c>
      <c r="C327" t="s">
        <v>39</v>
      </c>
      <c r="D327" t="s">
        <v>40</v>
      </c>
      <c r="E327" t="s">
        <v>53</v>
      </c>
      <c r="F327" s="12">
        <v>2800000000000000</v>
      </c>
      <c r="G327" s="12">
        <v>40000000000000</v>
      </c>
      <c r="H327" s="12">
        <v>1418480474353090</v>
      </c>
      <c r="I327" s="12" t="s">
        <v>88</v>
      </c>
      <c r="J327" s="12" t="s">
        <v>88</v>
      </c>
      <c r="K327" s="12"/>
      <c r="L327" s="13"/>
      <c r="M327" s="5" t="s">
        <v>68</v>
      </c>
      <c r="N327" s="5" t="s">
        <v>45</v>
      </c>
      <c r="O327" s="5" t="s">
        <v>89</v>
      </c>
      <c r="P327" s="5" t="s">
        <v>47</v>
      </c>
      <c r="Q327" s="5" t="s">
        <v>90</v>
      </c>
    </row>
    <row r="328" ht="17" spans="1:17">
      <c r="A328" t="s">
        <v>99</v>
      </c>
      <c r="B328" t="s">
        <v>100</v>
      </c>
      <c r="C328" t="s">
        <v>39</v>
      </c>
      <c r="D328" t="s">
        <v>40</v>
      </c>
      <c r="E328" t="s">
        <v>54</v>
      </c>
      <c r="F328" s="12">
        <v>2800000000000000</v>
      </c>
      <c r="G328" s="12">
        <v>40000000000000</v>
      </c>
      <c r="H328" s="12">
        <v>2526200651604800</v>
      </c>
      <c r="I328" s="12" t="s">
        <v>88</v>
      </c>
      <c r="J328" s="12" t="s">
        <v>88</v>
      </c>
      <c r="K328" s="12"/>
      <c r="L328" s="13"/>
      <c r="M328" s="5" t="s">
        <v>68</v>
      </c>
      <c r="N328" s="5" t="s">
        <v>45</v>
      </c>
      <c r="O328" s="5" t="s">
        <v>89</v>
      </c>
      <c r="P328" s="5" t="s">
        <v>47</v>
      </c>
      <c r="Q328" s="5" t="s">
        <v>90</v>
      </c>
    </row>
    <row r="329" ht="17" spans="1:17">
      <c r="A329" t="s">
        <v>99</v>
      </c>
      <c r="B329" t="s">
        <v>100</v>
      </c>
      <c r="C329" t="s">
        <v>39</v>
      </c>
      <c r="D329" t="s">
        <v>40</v>
      </c>
      <c r="E329" t="s">
        <v>55</v>
      </c>
      <c r="F329" s="12">
        <v>2800000000000000</v>
      </c>
      <c r="G329" s="12">
        <v>40000000000000</v>
      </c>
      <c r="H329" s="12">
        <v>113531181448092</v>
      </c>
      <c r="I329" s="12" t="s">
        <v>88</v>
      </c>
      <c r="J329" s="12" t="s">
        <v>88</v>
      </c>
      <c r="K329" s="12"/>
      <c r="L329" s="13"/>
      <c r="M329" s="5" t="s">
        <v>68</v>
      </c>
      <c r="N329" s="5" t="s">
        <v>45</v>
      </c>
      <c r="O329" s="5" t="s">
        <v>89</v>
      </c>
      <c r="P329" s="5" t="s">
        <v>47</v>
      </c>
      <c r="Q329" s="5" t="s">
        <v>90</v>
      </c>
    </row>
    <row r="330" ht="17" spans="1:17">
      <c r="A330" t="s">
        <v>99</v>
      </c>
      <c r="B330" t="s">
        <v>100</v>
      </c>
      <c r="C330" t="s">
        <v>56</v>
      </c>
      <c r="D330" t="s">
        <v>57</v>
      </c>
      <c r="E330" t="s">
        <v>41</v>
      </c>
      <c r="F330" s="12">
        <v>2800000000000000</v>
      </c>
      <c r="G330" s="12">
        <v>40000000000000</v>
      </c>
      <c r="H330" s="12">
        <v>3722371986913.94</v>
      </c>
      <c r="I330" s="12" t="s">
        <v>88</v>
      </c>
      <c r="J330" s="12" t="s">
        <v>88</v>
      </c>
      <c r="K330" s="12"/>
      <c r="L330" s="13"/>
      <c r="M330" s="5" t="s">
        <v>68</v>
      </c>
      <c r="N330" s="5" t="s">
        <v>45</v>
      </c>
      <c r="O330" s="5" t="s">
        <v>89</v>
      </c>
      <c r="P330" s="5" t="s">
        <v>47</v>
      </c>
      <c r="Q330" s="5" t="s">
        <v>90</v>
      </c>
    </row>
    <row r="331" ht="17" spans="1:17">
      <c r="A331" t="s">
        <v>99</v>
      </c>
      <c r="B331" t="s">
        <v>100</v>
      </c>
      <c r="C331" t="s">
        <v>56</v>
      </c>
      <c r="D331" t="s">
        <v>57</v>
      </c>
      <c r="E331" t="s">
        <v>49</v>
      </c>
      <c r="F331" s="12">
        <v>2800000000000000</v>
      </c>
      <c r="G331" s="12">
        <v>40000000000000</v>
      </c>
      <c r="H331" s="12">
        <v>47674868162414.6</v>
      </c>
      <c r="I331" s="12" t="s">
        <v>88</v>
      </c>
      <c r="J331" s="12" t="s">
        <v>88</v>
      </c>
      <c r="K331" s="12"/>
      <c r="L331" s="13"/>
      <c r="M331" s="5" t="s">
        <v>68</v>
      </c>
      <c r="N331" s="5" t="s">
        <v>45</v>
      </c>
      <c r="O331" s="5" t="s">
        <v>89</v>
      </c>
      <c r="P331" s="5" t="s">
        <v>47</v>
      </c>
      <c r="Q331" s="5" t="s">
        <v>90</v>
      </c>
    </row>
    <row r="332" ht="17" spans="1:17">
      <c r="A332" t="s">
        <v>99</v>
      </c>
      <c r="B332" t="s">
        <v>100</v>
      </c>
      <c r="C332" t="s">
        <v>56</v>
      </c>
      <c r="D332" t="s">
        <v>57</v>
      </c>
      <c r="E332" t="s">
        <v>50</v>
      </c>
      <c r="F332" s="12">
        <v>2800000000000000</v>
      </c>
      <c r="G332" s="12">
        <v>40000000000000</v>
      </c>
      <c r="H332" s="12">
        <v>142061561279851</v>
      </c>
      <c r="I332" s="12" t="s">
        <v>88</v>
      </c>
      <c r="J332" s="12" t="s">
        <v>88</v>
      </c>
      <c r="K332" s="12"/>
      <c r="L332" s="13"/>
      <c r="M332" s="5" t="s">
        <v>68</v>
      </c>
      <c r="N332" s="5" t="s">
        <v>45</v>
      </c>
      <c r="O332" s="5" t="s">
        <v>89</v>
      </c>
      <c r="P332" s="5" t="s">
        <v>47</v>
      </c>
      <c r="Q332" s="5" t="s">
        <v>90</v>
      </c>
    </row>
    <row r="333" ht="17" spans="1:17">
      <c r="A333" t="s">
        <v>99</v>
      </c>
      <c r="B333" t="s">
        <v>100</v>
      </c>
      <c r="C333" t="s">
        <v>56</v>
      </c>
      <c r="D333" t="s">
        <v>57</v>
      </c>
      <c r="E333" t="s">
        <v>51</v>
      </c>
      <c r="F333" s="12">
        <v>2800000000000000</v>
      </c>
      <c r="G333" s="12">
        <v>40000000000000</v>
      </c>
      <c r="H333" s="12">
        <v>1120153336615110</v>
      </c>
      <c r="I333" s="12" t="s">
        <v>88</v>
      </c>
      <c r="J333" s="12" t="s">
        <v>88</v>
      </c>
      <c r="K333" s="12"/>
      <c r="L333" s="13"/>
      <c r="M333" s="5" t="s">
        <v>68</v>
      </c>
      <c r="N333" s="5" t="s">
        <v>45</v>
      </c>
      <c r="O333" s="5" t="s">
        <v>89</v>
      </c>
      <c r="P333" s="5" t="s">
        <v>47</v>
      </c>
      <c r="Q333" s="5" t="s">
        <v>90</v>
      </c>
    </row>
    <row r="334" ht="17" spans="1:17">
      <c r="A334" t="s">
        <v>99</v>
      </c>
      <c r="B334" t="s">
        <v>100</v>
      </c>
      <c r="C334" t="s">
        <v>56</v>
      </c>
      <c r="D334" t="s">
        <v>57</v>
      </c>
      <c r="E334" t="s">
        <v>52</v>
      </c>
      <c r="F334" s="12">
        <v>2800000000000000</v>
      </c>
      <c r="G334" s="12">
        <v>40000000000000</v>
      </c>
      <c r="H334" s="12">
        <v>3.0535391845204e+16</v>
      </c>
      <c r="I334" s="12" t="s">
        <v>88</v>
      </c>
      <c r="J334" s="12" t="s">
        <v>88</v>
      </c>
      <c r="K334" s="12"/>
      <c r="L334" s="13"/>
      <c r="M334" s="5" t="s">
        <v>68</v>
      </c>
      <c r="N334" s="5" t="s">
        <v>45</v>
      </c>
      <c r="O334" s="5" t="s">
        <v>89</v>
      </c>
      <c r="P334" s="5" t="s">
        <v>47</v>
      </c>
      <c r="Q334" s="5" t="s">
        <v>90</v>
      </c>
    </row>
    <row r="335" ht="17" spans="1:17">
      <c r="A335" t="s">
        <v>99</v>
      </c>
      <c r="B335" t="s">
        <v>100</v>
      </c>
      <c r="C335" t="s">
        <v>56</v>
      </c>
      <c r="D335" t="s">
        <v>57</v>
      </c>
      <c r="E335" t="s">
        <v>53</v>
      </c>
      <c r="F335" s="12">
        <v>2800000000000000</v>
      </c>
      <c r="G335" s="12">
        <v>40000000000000</v>
      </c>
      <c r="H335" s="12">
        <v>1594818903259620</v>
      </c>
      <c r="I335" s="12" t="s">
        <v>88</v>
      </c>
      <c r="J335" s="12" t="s">
        <v>88</v>
      </c>
      <c r="K335" s="12"/>
      <c r="L335" s="13"/>
      <c r="M335" s="5" t="s">
        <v>68</v>
      </c>
      <c r="N335" s="5" t="s">
        <v>45</v>
      </c>
      <c r="O335" s="5" t="s">
        <v>89</v>
      </c>
      <c r="P335" s="5" t="s">
        <v>47</v>
      </c>
      <c r="Q335" s="5" t="s">
        <v>90</v>
      </c>
    </row>
    <row r="336" ht="17" spans="1:17">
      <c r="A336" t="s">
        <v>99</v>
      </c>
      <c r="B336" t="s">
        <v>100</v>
      </c>
      <c r="C336" t="s">
        <v>56</v>
      </c>
      <c r="D336" t="s">
        <v>57</v>
      </c>
      <c r="E336" t="s">
        <v>54</v>
      </c>
      <c r="F336" s="12">
        <v>2800000000000000</v>
      </c>
      <c r="G336" s="12">
        <v>40000000000000</v>
      </c>
      <c r="H336" s="12">
        <v>3438682949186640</v>
      </c>
      <c r="I336" s="12" t="s">
        <v>88</v>
      </c>
      <c r="J336" s="12" t="s">
        <v>88</v>
      </c>
      <c r="K336" s="12"/>
      <c r="L336" s="13"/>
      <c r="M336" s="5" t="s">
        <v>68</v>
      </c>
      <c r="N336" s="5" t="s">
        <v>45</v>
      </c>
      <c r="O336" s="5" t="s">
        <v>89</v>
      </c>
      <c r="P336" s="5" t="s">
        <v>47</v>
      </c>
      <c r="Q336" s="5" t="s">
        <v>90</v>
      </c>
    </row>
    <row r="337" ht="17" spans="1:17">
      <c r="A337" t="s">
        <v>99</v>
      </c>
      <c r="B337" t="s">
        <v>100</v>
      </c>
      <c r="C337" t="s">
        <v>56</v>
      </c>
      <c r="D337" t="s">
        <v>57</v>
      </c>
      <c r="E337" t="s">
        <v>55</v>
      </c>
      <c r="F337" s="12">
        <v>2800000000000000</v>
      </c>
      <c r="G337" s="12">
        <v>40000000000000</v>
      </c>
      <c r="H337" s="12">
        <v>133507590921529</v>
      </c>
      <c r="I337" s="12" t="s">
        <v>88</v>
      </c>
      <c r="J337" s="12" t="s">
        <v>88</v>
      </c>
      <c r="K337" s="12"/>
      <c r="L337" s="13"/>
      <c r="M337" s="5" t="s">
        <v>68</v>
      </c>
      <c r="N337" s="5" t="s">
        <v>45</v>
      </c>
      <c r="O337" s="5" t="s">
        <v>89</v>
      </c>
      <c r="P337" s="5" t="s">
        <v>47</v>
      </c>
      <c r="Q337" s="5" t="s">
        <v>90</v>
      </c>
    </row>
    <row r="338" ht="17" spans="1:17">
      <c r="A338" t="s">
        <v>99</v>
      </c>
      <c r="B338" t="s">
        <v>100</v>
      </c>
      <c r="C338" t="s">
        <v>58</v>
      </c>
      <c r="D338" t="s">
        <v>59</v>
      </c>
      <c r="E338" t="s">
        <v>41</v>
      </c>
      <c r="F338" s="12">
        <v>2800000000000000</v>
      </c>
      <c r="G338" s="12">
        <v>40000000000000</v>
      </c>
      <c r="H338" s="12">
        <v>2415623295678.11</v>
      </c>
      <c r="I338" s="12" t="s">
        <v>88</v>
      </c>
      <c r="J338" s="12" t="s">
        <v>88</v>
      </c>
      <c r="K338" s="12"/>
      <c r="L338" s="13"/>
      <c r="M338" s="5" t="s">
        <v>68</v>
      </c>
      <c r="N338" s="5" t="s">
        <v>45</v>
      </c>
      <c r="O338" s="5" t="s">
        <v>89</v>
      </c>
      <c r="P338" s="5" t="s">
        <v>47</v>
      </c>
      <c r="Q338" s="5" t="s">
        <v>90</v>
      </c>
    </row>
    <row r="339" ht="17" spans="1:17">
      <c r="A339" t="s">
        <v>99</v>
      </c>
      <c r="B339" t="s">
        <v>100</v>
      </c>
      <c r="C339" t="s">
        <v>58</v>
      </c>
      <c r="D339" t="s">
        <v>59</v>
      </c>
      <c r="E339" t="s">
        <v>49</v>
      </c>
      <c r="F339" s="12">
        <v>2800000000000000</v>
      </c>
      <c r="G339" s="12">
        <v>40000000000000</v>
      </c>
      <c r="H339" s="12">
        <v>91810340765791.3</v>
      </c>
      <c r="I339" s="12" t="s">
        <v>88</v>
      </c>
      <c r="J339" s="12" t="s">
        <v>88</v>
      </c>
      <c r="K339" s="12"/>
      <c r="L339" s="13"/>
      <c r="M339" s="5" t="s">
        <v>68</v>
      </c>
      <c r="N339" s="5" t="s">
        <v>45</v>
      </c>
      <c r="O339" s="5" t="s">
        <v>89</v>
      </c>
      <c r="P339" s="5" t="s">
        <v>47</v>
      </c>
      <c r="Q339" s="5" t="s">
        <v>90</v>
      </c>
    </row>
    <row r="340" ht="17" spans="1:17">
      <c r="A340" t="s">
        <v>99</v>
      </c>
      <c r="B340" t="s">
        <v>100</v>
      </c>
      <c r="C340" t="s">
        <v>58</v>
      </c>
      <c r="D340" t="s">
        <v>59</v>
      </c>
      <c r="E340" t="s">
        <v>50</v>
      </c>
      <c r="F340" s="12">
        <v>2800000000000000</v>
      </c>
      <c r="G340" s="12">
        <v>40000000000000</v>
      </c>
      <c r="H340" s="12">
        <v>184723008008982</v>
      </c>
      <c r="I340" s="12" t="s">
        <v>88</v>
      </c>
      <c r="J340" s="12" t="s">
        <v>88</v>
      </c>
      <c r="K340" s="12"/>
      <c r="L340" s="13"/>
      <c r="M340" s="5" t="s">
        <v>68</v>
      </c>
      <c r="N340" s="5" t="s">
        <v>45</v>
      </c>
      <c r="O340" s="5" t="s">
        <v>89</v>
      </c>
      <c r="P340" s="5" t="s">
        <v>47</v>
      </c>
      <c r="Q340" s="5" t="s">
        <v>90</v>
      </c>
    </row>
    <row r="341" ht="17" spans="1:17">
      <c r="A341" t="s">
        <v>99</v>
      </c>
      <c r="B341" t="s">
        <v>100</v>
      </c>
      <c r="C341" t="s">
        <v>58</v>
      </c>
      <c r="D341" t="s">
        <v>59</v>
      </c>
      <c r="E341" t="s">
        <v>51</v>
      </c>
      <c r="F341" s="12">
        <v>2800000000000000</v>
      </c>
      <c r="G341" s="12">
        <v>40000000000000</v>
      </c>
      <c r="H341" s="12">
        <v>2452023797840230</v>
      </c>
      <c r="I341" s="12" t="s">
        <v>88</v>
      </c>
      <c r="J341" s="12" t="s">
        <v>88</v>
      </c>
      <c r="K341" s="12"/>
      <c r="L341" s="13"/>
      <c r="M341" s="5" t="s">
        <v>68</v>
      </c>
      <c r="N341" s="5" t="s">
        <v>45</v>
      </c>
      <c r="O341" s="5" t="s">
        <v>89</v>
      </c>
      <c r="P341" s="5" t="s">
        <v>47</v>
      </c>
      <c r="Q341" s="5" t="s">
        <v>90</v>
      </c>
    </row>
    <row r="342" ht="17" spans="1:17">
      <c r="A342" t="s">
        <v>99</v>
      </c>
      <c r="B342" t="s">
        <v>100</v>
      </c>
      <c r="C342" t="s">
        <v>58</v>
      </c>
      <c r="D342" t="s">
        <v>59</v>
      </c>
      <c r="E342" t="s">
        <v>52</v>
      </c>
      <c r="F342" s="12">
        <v>2800000000000000</v>
      </c>
      <c r="G342" s="12">
        <v>40000000000000</v>
      </c>
      <c r="H342" s="12">
        <v>4.52086283960433e+16</v>
      </c>
      <c r="I342" s="12" t="s">
        <v>88</v>
      </c>
      <c r="J342" s="12" t="s">
        <v>88</v>
      </c>
      <c r="K342" s="12"/>
      <c r="L342" s="13"/>
      <c r="M342" s="5" t="s">
        <v>68</v>
      </c>
      <c r="N342" s="5" t="s">
        <v>45</v>
      </c>
      <c r="O342" s="5" t="s">
        <v>89</v>
      </c>
      <c r="P342" s="5" t="s">
        <v>47</v>
      </c>
      <c r="Q342" s="5" t="s">
        <v>90</v>
      </c>
    </row>
    <row r="343" ht="17" spans="1:17">
      <c r="A343" t="s">
        <v>99</v>
      </c>
      <c r="B343" t="s">
        <v>100</v>
      </c>
      <c r="C343" t="s">
        <v>58</v>
      </c>
      <c r="D343" t="s">
        <v>59</v>
      </c>
      <c r="E343" t="s">
        <v>53</v>
      </c>
      <c r="F343" s="12">
        <v>2800000000000000</v>
      </c>
      <c r="G343" s="12">
        <v>40000000000000</v>
      </c>
      <c r="H343" s="12">
        <v>3956826529643070</v>
      </c>
      <c r="I343" s="12" t="s">
        <v>88</v>
      </c>
      <c r="J343" s="12" t="s">
        <v>88</v>
      </c>
      <c r="K343" s="12"/>
      <c r="L343" s="13"/>
      <c r="M343" s="5" t="s">
        <v>68</v>
      </c>
      <c r="N343" s="5" t="s">
        <v>45</v>
      </c>
      <c r="O343" s="5" t="s">
        <v>89</v>
      </c>
      <c r="P343" s="5" t="s">
        <v>47</v>
      </c>
      <c r="Q343" s="5" t="s">
        <v>90</v>
      </c>
    </row>
    <row r="344" ht="17" spans="1:17">
      <c r="A344" t="s">
        <v>99</v>
      </c>
      <c r="B344" t="s">
        <v>100</v>
      </c>
      <c r="C344" t="s">
        <v>58</v>
      </c>
      <c r="D344" t="s">
        <v>59</v>
      </c>
      <c r="E344" t="s">
        <v>54</v>
      </c>
      <c r="F344" s="12">
        <v>2800000000000000</v>
      </c>
      <c r="G344" s="12">
        <v>40000000000000</v>
      </c>
      <c r="H344" s="12">
        <v>4702098374245710</v>
      </c>
      <c r="I344" s="12" t="s">
        <v>88</v>
      </c>
      <c r="J344" s="12" t="s">
        <v>88</v>
      </c>
      <c r="K344" s="12"/>
      <c r="L344" s="13"/>
      <c r="M344" s="5" t="s">
        <v>68</v>
      </c>
      <c r="N344" s="5" t="s">
        <v>45</v>
      </c>
      <c r="O344" s="5" t="s">
        <v>89</v>
      </c>
      <c r="P344" s="5" t="s">
        <v>47</v>
      </c>
      <c r="Q344" s="5" t="s">
        <v>90</v>
      </c>
    </row>
    <row r="345" ht="17" spans="1:17">
      <c r="A345" t="s">
        <v>99</v>
      </c>
      <c r="B345" t="s">
        <v>100</v>
      </c>
      <c r="C345" t="s">
        <v>58</v>
      </c>
      <c r="D345" t="s">
        <v>59</v>
      </c>
      <c r="E345" t="s">
        <v>55</v>
      </c>
      <c r="F345" s="12">
        <v>2800000000000000</v>
      </c>
      <c r="G345" s="12">
        <v>40000000000000</v>
      </c>
      <c r="H345" s="12">
        <v>100196230097892</v>
      </c>
      <c r="I345" s="12" t="s">
        <v>88</v>
      </c>
      <c r="J345" s="12" t="s">
        <v>88</v>
      </c>
      <c r="K345" s="12"/>
      <c r="L345" s="13"/>
      <c r="M345" s="5" t="s">
        <v>68</v>
      </c>
      <c r="N345" s="5" t="s">
        <v>45</v>
      </c>
      <c r="O345" s="5" t="s">
        <v>89</v>
      </c>
      <c r="P345" s="5" t="s">
        <v>47</v>
      </c>
      <c r="Q345" s="5" t="s">
        <v>90</v>
      </c>
    </row>
    <row r="346" ht="17" spans="1:17">
      <c r="A346" t="s">
        <v>99</v>
      </c>
      <c r="B346" t="s">
        <v>100</v>
      </c>
      <c r="C346" t="s">
        <v>60</v>
      </c>
      <c r="D346" t="s">
        <v>61</v>
      </c>
      <c r="E346" t="s">
        <v>41</v>
      </c>
      <c r="F346" s="12">
        <v>2800000000000000</v>
      </c>
      <c r="G346" s="12">
        <v>40000000000000</v>
      </c>
      <c r="H346" s="12">
        <v>15872466061490.1</v>
      </c>
      <c r="I346" s="12" t="s">
        <v>88</v>
      </c>
      <c r="J346" s="12" t="s">
        <v>88</v>
      </c>
      <c r="K346" s="12"/>
      <c r="L346" s="13"/>
      <c r="M346" s="5" t="s">
        <v>68</v>
      </c>
      <c r="N346" s="5" t="s">
        <v>45</v>
      </c>
      <c r="O346" s="5" t="s">
        <v>89</v>
      </c>
      <c r="P346" s="5" t="s">
        <v>91</v>
      </c>
      <c r="Q346" s="5" t="s">
        <v>90</v>
      </c>
    </row>
    <row r="347" ht="17" spans="1:17">
      <c r="A347" t="s">
        <v>99</v>
      </c>
      <c r="B347" t="s">
        <v>100</v>
      </c>
      <c r="C347" t="s">
        <v>60</v>
      </c>
      <c r="D347" t="s">
        <v>61</v>
      </c>
      <c r="E347" t="s">
        <v>49</v>
      </c>
      <c r="F347" s="12">
        <v>2800000000000000</v>
      </c>
      <c r="G347" s="12">
        <v>40000000000000</v>
      </c>
      <c r="H347" s="12">
        <v>126394887054595</v>
      </c>
      <c r="I347" s="12" t="s">
        <v>88</v>
      </c>
      <c r="J347" s="12" t="s">
        <v>88</v>
      </c>
      <c r="K347" s="12"/>
      <c r="L347" s="13"/>
      <c r="M347" s="5" t="s">
        <v>68</v>
      </c>
      <c r="N347" s="5" t="s">
        <v>45</v>
      </c>
      <c r="O347" s="5" t="s">
        <v>89</v>
      </c>
      <c r="P347" s="5" t="s">
        <v>91</v>
      </c>
      <c r="Q347" s="5" t="s">
        <v>90</v>
      </c>
    </row>
    <row r="348" ht="17" spans="1:17">
      <c r="A348" t="s">
        <v>99</v>
      </c>
      <c r="B348" t="s">
        <v>100</v>
      </c>
      <c r="C348" t="s">
        <v>60</v>
      </c>
      <c r="D348" t="s">
        <v>61</v>
      </c>
      <c r="E348" t="s">
        <v>50</v>
      </c>
      <c r="F348" s="12">
        <v>2800000000000000</v>
      </c>
      <c r="G348" s="12">
        <v>40000000000000</v>
      </c>
      <c r="H348" s="12">
        <v>213395357759662</v>
      </c>
      <c r="I348" s="12" t="s">
        <v>88</v>
      </c>
      <c r="J348" s="12" t="s">
        <v>88</v>
      </c>
      <c r="K348" s="12"/>
      <c r="L348" s="13"/>
      <c r="M348" s="5" t="s">
        <v>68</v>
      </c>
      <c r="N348" s="5" t="s">
        <v>45</v>
      </c>
      <c r="O348" s="5" t="s">
        <v>89</v>
      </c>
      <c r="P348" s="5" t="s">
        <v>91</v>
      </c>
      <c r="Q348" s="5" t="s">
        <v>90</v>
      </c>
    </row>
    <row r="349" ht="17" spans="1:17">
      <c r="A349" t="s">
        <v>99</v>
      </c>
      <c r="B349" t="s">
        <v>100</v>
      </c>
      <c r="C349" t="s">
        <v>60</v>
      </c>
      <c r="D349" t="s">
        <v>61</v>
      </c>
      <c r="E349" t="s">
        <v>51</v>
      </c>
      <c r="F349" s="12">
        <v>2800000000000000</v>
      </c>
      <c r="G349" s="12">
        <v>40000000000000</v>
      </c>
      <c r="H349" s="12">
        <v>1529882653506210</v>
      </c>
      <c r="I349" s="12" t="s">
        <v>88</v>
      </c>
      <c r="J349" s="12" t="s">
        <v>88</v>
      </c>
      <c r="K349" s="12"/>
      <c r="L349" s="13"/>
      <c r="M349" s="5" t="s">
        <v>68</v>
      </c>
      <c r="N349" s="5" t="s">
        <v>45</v>
      </c>
      <c r="O349" s="5" t="s">
        <v>89</v>
      </c>
      <c r="P349" s="5" t="s">
        <v>91</v>
      </c>
      <c r="Q349" s="5" t="s">
        <v>90</v>
      </c>
    </row>
    <row r="350" ht="17" spans="1:17">
      <c r="A350" t="s">
        <v>99</v>
      </c>
      <c r="B350" t="s">
        <v>100</v>
      </c>
      <c r="C350" t="s">
        <v>60</v>
      </c>
      <c r="D350" t="s">
        <v>61</v>
      </c>
      <c r="E350" t="s">
        <v>52</v>
      </c>
      <c r="F350" s="12">
        <v>2800000000000000</v>
      </c>
      <c r="G350" s="12">
        <v>40000000000000</v>
      </c>
      <c r="H350" s="12">
        <v>3.95450910777174e+16</v>
      </c>
      <c r="I350" s="12" t="s">
        <v>88</v>
      </c>
      <c r="J350" s="12" t="s">
        <v>88</v>
      </c>
      <c r="K350" s="12"/>
      <c r="L350" s="13"/>
      <c r="M350" s="5" t="s">
        <v>68</v>
      </c>
      <c r="N350" s="5" t="s">
        <v>45</v>
      </c>
      <c r="O350" s="5" t="s">
        <v>89</v>
      </c>
      <c r="P350" s="5" t="s">
        <v>91</v>
      </c>
      <c r="Q350" s="5" t="s">
        <v>90</v>
      </c>
    </row>
    <row r="351" ht="17" spans="1:17">
      <c r="A351" t="s">
        <v>99</v>
      </c>
      <c r="B351" t="s">
        <v>100</v>
      </c>
      <c r="C351" t="s">
        <v>60</v>
      </c>
      <c r="D351" t="s">
        <v>61</v>
      </c>
      <c r="E351" t="s">
        <v>53</v>
      </c>
      <c r="F351" s="12">
        <v>2800000000000000</v>
      </c>
      <c r="G351" s="12">
        <v>40000000000000</v>
      </c>
      <c r="H351" s="12">
        <v>4399399178922840</v>
      </c>
      <c r="I351" s="12" t="s">
        <v>88</v>
      </c>
      <c r="J351" s="12" t="s">
        <v>88</v>
      </c>
      <c r="K351" s="12"/>
      <c r="L351" s="13"/>
      <c r="M351" s="5" t="s">
        <v>68</v>
      </c>
      <c r="N351" s="5" t="s">
        <v>45</v>
      </c>
      <c r="O351" s="5" t="s">
        <v>89</v>
      </c>
      <c r="P351" s="5" t="s">
        <v>91</v>
      </c>
      <c r="Q351" s="5" t="s">
        <v>90</v>
      </c>
    </row>
    <row r="352" ht="17" spans="1:17">
      <c r="A352" t="s">
        <v>99</v>
      </c>
      <c r="B352" t="s">
        <v>100</v>
      </c>
      <c r="C352" t="s">
        <v>60</v>
      </c>
      <c r="D352" t="s">
        <v>61</v>
      </c>
      <c r="E352" t="s">
        <v>54</v>
      </c>
      <c r="F352" s="12">
        <v>2800000000000000</v>
      </c>
      <c r="G352" s="12">
        <v>40000000000000</v>
      </c>
      <c r="H352" s="12">
        <v>5432298261154150</v>
      </c>
      <c r="I352" s="12" t="s">
        <v>88</v>
      </c>
      <c r="J352" s="12" t="s">
        <v>88</v>
      </c>
      <c r="K352" s="12"/>
      <c r="L352" s="13"/>
      <c r="M352" s="5" t="s">
        <v>68</v>
      </c>
      <c r="N352" s="5" t="s">
        <v>45</v>
      </c>
      <c r="O352" s="5" t="s">
        <v>89</v>
      </c>
      <c r="P352" s="5" t="s">
        <v>91</v>
      </c>
      <c r="Q352" s="5" t="s">
        <v>90</v>
      </c>
    </row>
    <row r="353" ht="17" spans="1:17">
      <c r="A353" t="s">
        <v>99</v>
      </c>
      <c r="B353" t="s">
        <v>100</v>
      </c>
      <c r="C353" t="s">
        <v>60</v>
      </c>
      <c r="D353" t="s">
        <v>61</v>
      </c>
      <c r="E353" t="s">
        <v>55</v>
      </c>
      <c r="F353" s="12">
        <v>2800000000000000</v>
      </c>
      <c r="G353" s="12">
        <v>40000000000000</v>
      </c>
      <c r="H353" s="12">
        <v>132276007369232</v>
      </c>
      <c r="I353" s="12" t="s">
        <v>88</v>
      </c>
      <c r="J353" s="12" t="s">
        <v>88</v>
      </c>
      <c r="K353" s="12"/>
      <c r="L353" s="13"/>
      <c r="M353" s="5" t="s">
        <v>68</v>
      </c>
      <c r="N353" s="5" t="s">
        <v>45</v>
      </c>
      <c r="O353" s="5" t="s">
        <v>89</v>
      </c>
      <c r="P353" s="5" t="s">
        <v>91</v>
      </c>
      <c r="Q353" s="5" t="s">
        <v>90</v>
      </c>
    </row>
    <row r="354" ht="17" spans="1:17">
      <c r="A354" t="s">
        <v>99</v>
      </c>
      <c r="B354" t="s">
        <v>100</v>
      </c>
      <c r="C354" t="s">
        <v>70</v>
      </c>
      <c r="D354" t="s">
        <v>71</v>
      </c>
      <c r="E354" t="s">
        <v>41</v>
      </c>
      <c r="F354" s="12">
        <v>2800000000000000</v>
      </c>
      <c r="G354" s="12">
        <v>40000000000000</v>
      </c>
      <c r="H354" s="12">
        <v>23069079235666.5</v>
      </c>
      <c r="I354" s="12" t="s">
        <v>88</v>
      </c>
      <c r="J354" s="12" t="s">
        <v>88</v>
      </c>
      <c r="K354" s="12"/>
      <c r="L354" s="13"/>
      <c r="M354" s="5" t="s">
        <v>68</v>
      </c>
      <c r="N354" s="5" t="s">
        <v>45</v>
      </c>
      <c r="O354" s="5" t="s">
        <v>89</v>
      </c>
      <c r="P354" s="5" t="s">
        <v>47</v>
      </c>
      <c r="Q354" s="5" t="s">
        <v>90</v>
      </c>
    </row>
    <row r="355" ht="17" spans="1:17">
      <c r="A355" t="s">
        <v>99</v>
      </c>
      <c r="B355" t="s">
        <v>100</v>
      </c>
      <c r="C355" t="s">
        <v>70</v>
      </c>
      <c r="D355" t="s">
        <v>71</v>
      </c>
      <c r="E355" t="s">
        <v>49</v>
      </c>
      <c r="F355" s="12">
        <v>2800000000000000</v>
      </c>
      <c r="G355" s="12">
        <v>40000000000000</v>
      </c>
      <c r="H355" s="12">
        <v>129731648658392</v>
      </c>
      <c r="I355" s="12" t="s">
        <v>88</v>
      </c>
      <c r="J355" s="12" t="s">
        <v>88</v>
      </c>
      <c r="K355" s="12"/>
      <c r="L355" s="13"/>
      <c r="M355" s="5" t="s">
        <v>68</v>
      </c>
      <c r="N355" s="5" t="s">
        <v>45</v>
      </c>
      <c r="O355" s="5" t="s">
        <v>89</v>
      </c>
      <c r="P355" s="5" t="s">
        <v>47</v>
      </c>
      <c r="Q355" s="5" t="s">
        <v>90</v>
      </c>
    </row>
    <row r="356" ht="17" spans="1:17">
      <c r="A356" t="s">
        <v>99</v>
      </c>
      <c r="B356" t="s">
        <v>100</v>
      </c>
      <c r="C356" t="s">
        <v>70</v>
      </c>
      <c r="D356" t="s">
        <v>71</v>
      </c>
      <c r="E356" t="s">
        <v>50</v>
      </c>
      <c r="F356" s="12">
        <v>2800000000000000</v>
      </c>
      <c r="G356" s="12">
        <v>40000000000000</v>
      </c>
      <c r="H356" s="12">
        <v>172128724283889</v>
      </c>
      <c r="I356" s="12" t="s">
        <v>88</v>
      </c>
      <c r="J356" s="12" t="s">
        <v>88</v>
      </c>
      <c r="K356" s="12"/>
      <c r="L356" s="13"/>
      <c r="M356" s="5" t="s">
        <v>68</v>
      </c>
      <c r="N356" s="5" t="s">
        <v>45</v>
      </c>
      <c r="O356" s="5" t="s">
        <v>89</v>
      </c>
      <c r="P356" s="5" t="s">
        <v>47</v>
      </c>
      <c r="Q356" s="5" t="s">
        <v>90</v>
      </c>
    </row>
    <row r="357" ht="17" spans="1:17">
      <c r="A357" t="s">
        <v>99</v>
      </c>
      <c r="B357" t="s">
        <v>100</v>
      </c>
      <c r="C357" t="s">
        <v>70</v>
      </c>
      <c r="D357" t="s">
        <v>71</v>
      </c>
      <c r="E357" t="s">
        <v>51</v>
      </c>
      <c r="F357" s="12">
        <v>2800000000000000</v>
      </c>
      <c r="G357" s="12">
        <v>40000000000000</v>
      </c>
      <c r="H357" s="12">
        <v>1312320177838570</v>
      </c>
      <c r="I357" s="12" t="s">
        <v>88</v>
      </c>
      <c r="J357" s="12" t="s">
        <v>88</v>
      </c>
      <c r="K357" s="12"/>
      <c r="L357" s="13"/>
      <c r="M357" s="5" t="s">
        <v>68</v>
      </c>
      <c r="N357" s="5" t="s">
        <v>45</v>
      </c>
      <c r="O357" s="5" t="s">
        <v>89</v>
      </c>
      <c r="P357" s="5" t="s">
        <v>47</v>
      </c>
      <c r="Q357" s="5" t="s">
        <v>90</v>
      </c>
    </row>
    <row r="358" ht="17" spans="1:17">
      <c r="A358" t="s">
        <v>99</v>
      </c>
      <c r="B358" t="s">
        <v>100</v>
      </c>
      <c r="C358" t="s">
        <v>70</v>
      </c>
      <c r="D358" t="s">
        <v>71</v>
      </c>
      <c r="E358" t="s">
        <v>52</v>
      </c>
      <c r="F358" s="12">
        <v>2800000000000000</v>
      </c>
      <c r="G358" s="12">
        <v>40000000000000</v>
      </c>
      <c r="H358" s="12">
        <v>4.0891930546317e+16</v>
      </c>
      <c r="I358" s="12" t="s">
        <v>88</v>
      </c>
      <c r="J358" s="12" t="s">
        <v>88</v>
      </c>
      <c r="K358" s="12"/>
      <c r="L358" s="13"/>
      <c r="M358" s="5" t="s">
        <v>68</v>
      </c>
      <c r="N358" s="5" t="s">
        <v>45</v>
      </c>
      <c r="O358" s="5" t="s">
        <v>89</v>
      </c>
      <c r="P358" s="5" t="s">
        <v>47</v>
      </c>
      <c r="Q358" s="5" t="s">
        <v>90</v>
      </c>
    </row>
    <row r="359" ht="17" spans="1:17">
      <c r="A359" t="s">
        <v>99</v>
      </c>
      <c r="B359" t="s">
        <v>100</v>
      </c>
      <c r="C359" t="s">
        <v>70</v>
      </c>
      <c r="D359" t="s">
        <v>71</v>
      </c>
      <c r="E359" t="s">
        <v>53</v>
      </c>
      <c r="F359" s="12">
        <v>2800000000000000</v>
      </c>
      <c r="G359" s="12">
        <v>40000000000000</v>
      </c>
      <c r="H359" s="12">
        <v>4199104605266700</v>
      </c>
      <c r="I359" s="12" t="s">
        <v>88</v>
      </c>
      <c r="J359" s="12" t="s">
        <v>88</v>
      </c>
      <c r="K359" s="12"/>
      <c r="L359" s="13"/>
      <c r="M359" s="5" t="s">
        <v>68</v>
      </c>
      <c r="N359" s="5" t="s">
        <v>45</v>
      </c>
      <c r="O359" s="5" t="s">
        <v>89</v>
      </c>
      <c r="P359" s="5" t="s">
        <v>47</v>
      </c>
      <c r="Q359" s="5" t="s">
        <v>90</v>
      </c>
    </row>
    <row r="360" ht="17" spans="1:17">
      <c r="A360" t="s">
        <v>99</v>
      </c>
      <c r="B360" t="s">
        <v>100</v>
      </c>
      <c r="C360" t="s">
        <v>70</v>
      </c>
      <c r="D360" t="s">
        <v>71</v>
      </c>
      <c r="E360" t="s">
        <v>54</v>
      </c>
      <c r="F360" s="12">
        <v>2800000000000000</v>
      </c>
      <c r="G360" s="12">
        <v>40000000000000</v>
      </c>
      <c r="H360" s="12">
        <v>5184818925583400</v>
      </c>
      <c r="I360" s="12" t="s">
        <v>88</v>
      </c>
      <c r="J360" s="12" t="s">
        <v>88</v>
      </c>
      <c r="K360" s="12"/>
      <c r="L360" s="13"/>
      <c r="M360" s="5" t="s">
        <v>68</v>
      </c>
      <c r="N360" s="5" t="s">
        <v>45</v>
      </c>
      <c r="O360" s="5" t="s">
        <v>89</v>
      </c>
      <c r="P360" s="5" t="s">
        <v>47</v>
      </c>
      <c r="Q360" s="5" t="s">
        <v>90</v>
      </c>
    </row>
    <row r="361" ht="17" spans="1:17">
      <c r="A361" t="s">
        <v>99</v>
      </c>
      <c r="B361" t="s">
        <v>100</v>
      </c>
      <c r="C361" t="s">
        <v>70</v>
      </c>
      <c r="D361" t="s">
        <v>71</v>
      </c>
      <c r="E361" t="s">
        <v>55</v>
      </c>
      <c r="F361" s="12">
        <v>2800000000000000</v>
      </c>
      <c r="G361" s="12">
        <v>40000000000000</v>
      </c>
      <c r="H361" s="12">
        <v>109467058651123</v>
      </c>
      <c r="I361" s="12" t="s">
        <v>88</v>
      </c>
      <c r="J361" s="12" t="s">
        <v>88</v>
      </c>
      <c r="K361" s="12"/>
      <c r="L361" s="13"/>
      <c r="M361" s="5" t="s">
        <v>68</v>
      </c>
      <c r="N361" s="5" t="s">
        <v>45</v>
      </c>
      <c r="O361" s="5" t="s">
        <v>89</v>
      </c>
      <c r="P361" s="5" t="s">
        <v>47</v>
      </c>
      <c r="Q361" s="5" t="s">
        <v>90</v>
      </c>
    </row>
    <row r="362" ht="17" spans="1:17">
      <c r="A362" t="s">
        <v>99</v>
      </c>
      <c r="B362" t="s">
        <v>100</v>
      </c>
      <c r="C362" t="s">
        <v>72</v>
      </c>
      <c r="D362" t="s">
        <v>73</v>
      </c>
      <c r="E362" t="s">
        <v>41</v>
      </c>
      <c r="F362" s="12">
        <v>2800000000000000</v>
      </c>
      <c r="G362" s="12">
        <v>40000000000000</v>
      </c>
      <c r="H362" s="12">
        <v>15247915241250.9</v>
      </c>
      <c r="I362" s="12" t="s">
        <v>88</v>
      </c>
      <c r="J362" s="12" t="s">
        <v>88</v>
      </c>
      <c r="K362" s="12"/>
      <c r="L362" s="13"/>
      <c r="M362" s="5" t="s">
        <v>68</v>
      </c>
      <c r="N362" s="5" t="s">
        <v>45</v>
      </c>
      <c r="O362" s="5" t="s">
        <v>89</v>
      </c>
      <c r="P362" s="5" t="s">
        <v>47</v>
      </c>
      <c r="Q362" s="5" t="s">
        <v>90</v>
      </c>
    </row>
    <row r="363" ht="17" spans="1:17">
      <c r="A363" t="s">
        <v>99</v>
      </c>
      <c r="B363" t="s">
        <v>100</v>
      </c>
      <c r="C363" t="s">
        <v>72</v>
      </c>
      <c r="D363" t="s">
        <v>73</v>
      </c>
      <c r="E363" t="s">
        <v>49</v>
      </c>
      <c r="F363" s="12">
        <v>2800000000000000</v>
      </c>
      <c r="G363" s="12">
        <v>40000000000000</v>
      </c>
      <c r="H363" s="12">
        <v>94580504149425.2</v>
      </c>
      <c r="I363" s="12" t="s">
        <v>88</v>
      </c>
      <c r="J363" s="12" t="s">
        <v>88</v>
      </c>
      <c r="K363" s="12"/>
      <c r="L363" s="13"/>
      <c r="M363" s="5" t="s">
        <v>68</v>
      </c>
      <c r="N363" s="5" t="s">
        <v>45</v>
      </c>
      <c r="O363" s="5" t="s">
        <v>89</v>
      </c>
      <c r="P363" s="5" t="s">
        <v>47</v>
      </c>
      <c r="Q363" s="5" t="s">
        <v>90</v>
      </c>
    </row>
    <row r="364" ht="17" spans="1:17">
      <c r="A364" t="s">
        <v>99</v>
      </c>
      <c r="B364" t="s">
        <v>100</v>
      </c>
      <c r="C364" t="s">
        <v>72</v>
      </c>
      <c r="D364" t="s">
        <v>73</v>
      </c>
      <c r="E364" t="s">
        <v>50</v>
      </c>
      <c r="F364" s="12">
        <v>2800000000000000</v>
      </c>
      <c r="G364" s="12">
        <v>40000000000000</v>
      </c>
      <c r="H364" s="12">
        <v>150637449632710</v>
      </c>
      <c r="I364" s="12" t="s">
        <v>88</v>
      </c>
      <c r="J364" s="12" t="s">
        <v>88</v>
      </c>
      <c r="K364" s="12"/>
      <c r="L364" s="13"/>
      <c r="M364" s="5" t="s">
        <v>68</v>
      </c>
      <c r="N364" s="5" t="s">
        <v>45</v>
      </c>
      <c r="O364" s="5" t="s">
        <v>89</v>
      </c>
      <c r="P364" s="5" t="s">
        <v>47</v>
      </c>
      <c r="Q364" s="5" t="s">
        <v>90</v>
      </c>
    </row>
    <row r="365" ht="17" spans="1:17">
      <c r="A365" t="s">
        <v>99</v>
      </c>
      <c r="B365" t="s">
        <v>100</v>
      </c>
      <c r="C365" t="s">
        <v>72</v>
      </c>
      <c r="D365" t="s">
        <v>73</v>
      </c>
      <c r="E365" t="s">
        <v>51</v>
      </c>
      <c r="F365" s="12">
        <v>2800000000000000</v>
      </c>
      <c r="G365" s="12">
        <v>40000000000000</v>
      </c>
      <c r="H365" s="12">
        <v>947355036324972</v>
      </c>
      <c r="I365" s="12" t="s">
        <v>88</v>
      </c>
      <c r="J365" s="12" t="s">
        <v>88</v>
      </c>
      <c r="K365" s="12"/>
      <c r="L365" s="13"/>
      <c r="M365" s="5" t="s">
        <v>68</v>
      </c>
      <c r="N365" s="5" t="s">
        <v>45</v>
      </c>
      <c r="O365" s="5" t="s">
        <v>89</v>
      </c>
      <c r="P365" s="5" t="s">
        <v>47</v>
      </c>
      <c r="Q365" s="5" t="s">
        <v>90</v>
      </c>
    </row>
    <row r="366" ht="17" spans="1:17">
      <c r="A366" t="s">
        <v>99</v>
      </c>
      <c r="B366" t="s">
        <v>100</v>
      </c>
      <c r="C366" t="s">
        <v>72</v>
      </c>
      <c r="D366" t="s">
        <v>73</v>
      </c>
      <c r="E366" t="s">
        <v>52</v>
      </c>
      <c r="F366" s="12">
        <v>2800000000000000</v>
      </c>
      <c r="G366" s="12">
        <v>40000000000000</v>
      </c>
      <c r="H366" s="12">
        <v>4.4212015902071e+16</v>
      </c>
      <c r="I366" s="12" t="s">
        <v>88</v>
      </c>
      <c r="J366" s="12" t="s">
        <v>88</v>
      </c>
      <c r="K366" s="12"/>
      <c r="L366" s="13"/>
      <c r="M366" s="5" t="s">
        <v>68</v>
      </c>
      <c r="N366" s="5" t="s">
        <v>45</v>
      </c>
      <c r="O366" s="5" t="s">
        <v>89</v>
      </c>
      <c r="P366" s="5" t="s">
        <v>47</v>
      </c>
      <c r="Q366" s="5" t="s">
        <v>90</v>
      </c>
    </row>
    <row r="367" ht="17" spans="1:17">
      <c r="A367" t="s">
        <v>99</v>
      </c>
      <c r="B367" t="s">
        <v>100</v>
      </c>
      <c r="C367" t="s">
        <v>72</v>
      </c>
      <c r="D367" t="s">
        <v>73</v>
      </c>
      <c r="E367" t="s">
        <v>53</v>
      </c>
      <c r="F367" s="12">
        <v>2800000000000000</v>
      </c>
      <c r="G367" s="12">
        <v>40000000000000</v>
      </c>
      <c r="H367" s="12">
        <v>3671057361800660</v>
      </c>
      <c r="I367" s="12" t="s">
        <v>88</v>
      </c>
      <c r="J367" s="12" t="s">
        <v>88</v>
      </c>
      <c r="K367" s="12"/>
      <c r="L367" s="13"/>
      <c r="M367" s="5" t="s">
        <v>68</v>
      </c>
      <c r="N367" s="5" t="s">
        <v>45</v>
      </c>
      <c r="O367" s="5" t="s">
        <v>89</v>
      </c>
      <c r="P367" s="5" t="s">
        <v>47</v>
      </c>
      <c r="Q367" s="5" t="s">
        <v>90</v>
      </c>
    </row>
    <row r="368" ht="17" spans="1:17">
      <c r="A368" t="s">
        <v>99</v>
      </c>
      <c r="B368" t="s">
        <v>100</v>
      </c>
      <c r="C368" t="s">
        <v>72</v>
      </c>
      <c r="D368" t="s">
        <v>73</v>
      </c>
      <c r="E368" t="s">
        <v>54</v>
      </c>
      <c r="F368" s="12">
        <v>2800000000000000</v>
      </c>
      <c r="G368" s="12">
        <v>40000000000000</v>
      </c>
      <c r="H368" s="12">
        <v>4843832226063280</v>
      </c>
      <c r="I368" s="12" t="s">
        <v>88</v>
      </c>
      <c r="J368" s="12" t="s">
        <v>88</v>
      </c>
      <c r="K368" s="12"/>
      <c r="L368" s="13"/>
      <c r="M368" s="5" t="s">
        <v>68</v>
      </c>
      <c r="N368" s="5" t="s">
        <v>45</v>
      </c>
      <c r="O368" s="5" t="s">
        <v>89</v>
      </c>
      <c r="P368" s="5" t="s">
        <v>47</v>
      </c>
      <c r="Q368" s="5" t="s">
        <v>90</v>
      </c>
    </row>
    <row r="369" ht="17" spans="1:17">
      <c r="A369" t="s">
        <v>99</v>
      </c>
      <c r="B369" t="s">
        <v>100</v>
      </c>
      <c r="C369" t="s">
        <v>72</v>
      </c>
      <c r="D369" t="s">
        <v>73</v>
      </c>
      <c r="E369" t="s">
        <v>55</v>
      </c>
      <c r="F369" s="12">
        <v>2800000000000000</v>
      </c>
      <c r="G369" s="12">
        <v>40000000000000</v>
      </c>
      <c r="H369" s="12">
        <v>100206463412055</v>
      </c>
      <c r="I369" s="12" t="s">
        <v>88</v>
      </c>
      <c r="J369" s="12" t="s">
        <v>88</v>
      </c>
      <c r="K369" s="12"/>
      <c r="L369" s="13"/>
      <c r="M369" s="5" t="s">
        <v>68</v>
      </c>
      <c r="N369" s="5" t="s">
        <v>45</v>
      </c>
      <c r="O369" s="5" t="s">
        <v>89</v>
      </c>
      <c r="P369" s="5" t="s">
        <v>47</v>
      </c>
      <c r="Q369" s="5" t="s">
        <v>90</v>
      </c>
    </row>
    <row r="370" ht="17" spans="1:17">
      <c r="A370" t="s">
        <v>99</v>
      </c>
      <c r="B370" t="s">
        <v>100</v>
      </c>
      <c r="C370" t="s">
        <v>74</v>
      </c>
      <c r="D370" t="s">
        <v>75</v>
      </c>
      <c r="E370" t="s">
        <v>41</v>
      </c>
      <c r="F370" s="12">
        <v>2800000000000000</v>
      </c>
      <c r="G370" s="12">
        <v>40000000000000</v>
      </c>
      <c r="H370" s="12">
        <v>21319014556302.3</v>
      </c>
      <c r="I370" s="12" t="s">
        <v>88</v>
      </c>
      <c r="J370" s="12" t="s">
        <v>88</v>
      </c>
      <c r="K370" s="12"/>
      <c r="L370" s="13"/>
      <c r="M370" s="5" t="s">
        <v>68</v>
      </c>
      <c r="N370" s="5" t="s">
        <v>45</v>
      </c>
      <c r="O370" s="5" t="s">
        <v>89</v>
      </c>
      <c r="P370" s="5" t="s">
        <v>47</v>
      </c>
      <c r="Q370" s="5" t="s">
        <v>90</v>
      </c>
    </row>
    <row r="371" ht="17" spans="1:17">
      <c r="A371" t="s">
        <v>99</v>
      </c>
      <c r="B371" t="s">
        <v>100</v>
      </c>
      <c r="C371" t="s">
        <v>74</v>
      </c>
      <c r="D371" t="s">
        <v>75</v>
      </c>
      <c r="E371" t="s">
        <v>49</v>
      </c>
      <c r="F371" s="12">
        <v>2800000000000000</v>
      </c>
      <c r="G371" s="12">
        <v>40000000000000</v>
      </c>
      <c r="H371" s="12">
        <v>78299439154414.3</v>
      </c>
      <c r="I371" s="12" t="s">
        <v>88</v>
      </c>
      <c r="J371" s="12" t="s">
        <v>88</v>
      </c>
      <c r="K371" s="12"/>
      <c r="L371" s="13"/>
      <c r="M371" s="5" t="s">
        <v>68</v>
      </c>
      <c r="N371" s="5" t="s">
        <v>45</v>
      </c>
      <c r="O371" s="5" t="s">
        <v>89</v>
      </c>
      <c r="P371" s="5" t="s">
        <v>47</v>
      </c>
      <c r="Q371" s="5" t="s">
        <v>90</v>
      </c>
    </row>
    <row r="372" ht="17" spans="1:17">
      <c r="A372" t="s">
        <v>99</v>
      </c>
      <c r="B372" t="s">
        <v>100</v>
      </c>
      <c r="C372" t="s">
        <v>74</v>
      </c>
      <c r="D372" t="s">
        <v>75</v>
      </c>
      <c r="E372" t="s">
        <v>50</v>
      </c>
      <c r="F372" s="12">
        <v>2800000000000000</v>
      </c>
      <c r="G372" s="12">
        <v>40000000000000</v>
      </c>
      <c r="H372" s="12">
        <v>117966660182426</v>
      </c>
      <c r="I372" s="12" t="s">
        <v>88</v>
      </c>
      <c r="J372" s="12" t="s">
        <v>88</v>
      </c>
      <c r="K372" s="12"/>
      <c r="L372" s="13"/>
      <c r="M372" s="5" t="s">
        <v>68</v>
      </c>
      <c r="N372" s="5" t="s">
        <v>45</v>
      </c>
      <c r="O372" s="5" t="s">
        <v>89</v>
      </c>
      <c r="P372" s="5" t="s">
        <v>47</v>
      </c>
      <c r="Q372" s="5" t="s">
        <v>90</v>
      </c>
    </row>
    <row r="373" ht="17" spans="1:17">
      <c r="A373" t="s">
        <v>99</v>
      </c>
      <c r="B373" t="s">
        <v>100</v>
      </c>
      <c r="C373" t="s">
        <v>74</v>
      </c>
      <c r="D373" t="s">
        <v>75</v>
      </c>
      <c r="E373" t="s">
        <v>51</v>
      </c>
      <c r="F373" s="12">
        <v>2800000000000000</v>
      </c>
      <c r="G373" s="12">
        <v>40000000000000</v>
      </c>
      <c r="H373" s="12">
        <v>418261930410395</v>
      </c>
      <c r="I373" s="12" t="s">
        <v>88</v>
      </c>
      <c r="J373" s="12" t="s">
        <v>88</v>
      </c>
      <c r="K373" s="12"/>
      <c r="L373" s="13"/>
      <c r="M373" s="5" t="s">
        <v>68</v>
      </c>
      <c r="N373" s="5" t="s">
        <v>45</v>
      </c>
      <c r="O373" s="5" t="s">
        <v>89</v>
      </c>
      <c r="P373" s="5" t="s">
        <v>47</v>
      </c>
      <c r="Q373" s="5" t="s">
        <v>90</v>
      </c>
    </row>
    <row r="374" ht="17" spans="1:17">
      <c r="A374" t="s">
        <v>99</v>
      </c>
      <c r="B374" t="s">
        <v>100</v>
      </c>
      <c r="C374" t="s">
        <v>74</v>
      </c>
      <c r="D374" t="s">
        <v>75</v>
      </c>
      <c r="E374" t="s">
        <v>52</v>
      </c>
      <c r="F374" s="12">
        <v>2800000000000000</v>
      </c>
      <c r="G374" s="12">
        <v>40000000000000</v>
      </c>
      <c r="H374" s="12">
        <v>4.67869158936505e+16</v>
      </c>
      <c r="I374" s="12" t="s">
        <v>88</v>
      </c>
      <c r="J374" s="12" t="s">
        <v>88</v>
      </c>
      <c r="K374" s="12"/>
      <c r="L374" s="13"/>
      <c r="M374" s="5" t="s">
        <v>68</v>
      </c>
      <c r="N374" s="5" t="s">
        <v>45</v>
      </c>
      <c r="O374" s="5" t="s">
        <v>89</v>
      </c>
      <c r="P374" s="5" t="s">
        <v>47</v>
      </c>
      <c r="Q374" s="5" t="s">
        <v>90</v>
      </c>
    </row>
    <row r="375" ht="17" spans="1:17">
      <c r="A375" t="s">
        <v>99</v>
      </c>
      <c r="B375" t="s">
        <v>100</v>
      </c>
      <c r="C375" t="s">
        <v>74</v>
      </c>
      <c r="D375" t="s">
        <v>75</v>
      </c>
      <c r="E375" t="s">
        <v>53</v>
      </c>
      <c r="F375" s="12">
        <v>2800000000000000</v>
      </c>
      <c r="G375" s="12">
        <v>40000000000000</v>
      </c>
      <c r="H375" s="12">
        <v>3274111709085860</v>
      </c>
      <c r="I375" s="12" t="s">
        <v>88</v>
      </c>
      <c r="J375" s="12" t="s">
        <v>88</v>
      </c>
      <c r="K375" s="12"/>
      <c r="L375" s="13"/>
      <c r="M375" s="5" t="s">
        <v>68</v>
      </c>
      <c r="N375" s="5" t="s">
        <v>45</v>
      </c>
      <c r="O375" s="5" t="s">
        <v>89</v>
      </c>
      <c r="P375" s="5" t="s">
        <v>47</v>
      </c>
      <c r="Q375" s="5" t="s">
        <v>90</v>
      </c>
    </row>
    <row r="376" ht="17" spans="1:17">
      <c r="A376" t="s">
        <v>99</v>
      </c>
      <c r="B376" t="s">
        <v>100</v>
      </c>
      <c r="C376" t="s">
        <v>74</v>
      </c>
      <c r="D376" t="s">
        <v>75</v>
      </c>
      <c r="E376" t="s">
        <v>54</v>
      </c>
      <c r="F376" s="12">
        <v>2800000000000000</v>
      </c>
      <c r="G376" s="12">
        <v>40000000000000</v>
      </c>
      <c r="H376" s="12">
        <v>4555138413011800</v>
      </c>
      <c r="I376" s="12" t="s">
        <v>88</v>
      </c>
      <c r="J376" s="12" t="s">
        <v>88</v>
      </c>
      <c r="K376" s="12"/>
      <c r="L376" s="13"/>
      <c r="M376" s="5" t="s">
        <v>68</v>
      </c>
      <c r="N376" s="5" t="s">
        <v>45</v>
      </c>
      <c r="O376" s="5" t="s">
        <v>89</v>
      </c>
      <c r="P376" s="5" t="s">
        <v>47</v>
      </c>
      <c r="Q376" s="5" t="s">
        <v>90</v>
      </c>
    </row>
    <row r="377" ht="17" spans="1:17">
      <c r="A377" t="s">
        <v>99</v>
      </c>
      <c r="B377" t="s">
        <v>100</v>
      </c>
      <c r="C377" t="s">
        <v>74</v>
      </c>
      <c r="D377" t="s">
        <v>75</v>
      </c>
      <c r="E377" t="s">
        <v>55</v>
      </c>
      <c r="F377" s="12">
        <v>2800000000000000</v>
      </c>
      <c r="G377" s="12">
        <v>40000000000000</v>
      </c>
      <c r="H377" s="12">
        <v>80366061975729.3</v>
      </c>
      <c r="I377" s="12" t="s">
        <v>88</v>
      </c>
      <c r="J377" s="12" t="s">
        <v>88</v>
      </c>
      <c r="K377" s="12"/>
      <c r="L377" s="13"/>
      <c r="M377" s="5" t="s">
        <v>68</v>
      </c>
      <c r="N377" s="5" t="s">
        <v>45</v>
      </c>
      <c r="O377" s="5" t="s">
        <v>89</v>
      </c>
      <c r="P377" s="5" t="s">
        <v>47</v>
      </c>
      <c r="Q377" s="5" t="s">
        <v>90</v>
      </c>
    </row>
    <row r="378" ht="17" spans="1:17">
      <c r="A378" t="s">
        <v>99</v>
      </c>
      <c r="B378" t="s">
        <v>100</v>
      </c>
      <c r="C378" t="s">
        <v>76</v>
      </c>
      <c r="D378" t="s">
        <v>77</v>
      </c>
      <c r="E378" t="s">
        <v>41</v>
      </c>
      <c r="F378" s="12">
        <v>2800000000000000</v>
      </c>
      <c r="G378" s="12">
        <v>40000000000000</v>
      </c>
      <c r="H378" s="12">
        <v>1689106388954.91</v>
      </c>
      <c r="I378" s="12" t="s">
        <v>88</v>
      </c>
      <c r="J378" s="12" t="s">
        <v>88</v>
      </c>
      <c r="K378" s="12"/>
      <c r="L378" s="13"/>
      <c r="M378" s="5" t="s">
        <v>68</v>
      </c>
      <c r="N378" s="5" t="s">
        <v>45</v>
      </c>
      <c r="O378" s="5" t="s">
        <v>89</v>
      </c>
      <c r="P378" s="5" t="s">
        <v>47</v>
      </c>
      <c r="Q378" s="5" t="s">
        <v>90</v>
      </c>
    </row>
    <row r="379" ht="17" spans="1:17">
      <c r="A379" t="s">
        <v>99</v>
      </c>
      <c r="B379" t="s">
        <v>100</v>
      </c>
      <c r="C379" t="s">
        <v>76</v>
      </c>
      <c r="D379" t="s">
        <v>77</v>
      </c>
      <c r="E379" t="s">
        <v>49</v>
      </c>
      <c r="F379" s="12">
        <v>2800000000000000</v>
      </c>
      <c r="G379" s="12">
        <v>40000000000000</v>
      </c>
      <c r="H379" s="12">
        <v>53384072891063.7</v>
      </c>
      <c r="I379" s="12" t="s">
        <v>88</v>
      </c>
      <c r="J379" s="12" t="s">
        <v>88</v>
      </c>
      <c r="K379" s="12"/>
      <c r="L379" s="13"/>
      <c r="M379" s="5" t="s">
        <v>68</v>
      </c>
      <c r="N379" s="5" t="s">
        <v>45</v>
      </c>
      <c r="O379" s="5" t="s">
        <v>89</v>
      </c>
      <c r="P379" s="5" t="s">
        <v>47</v>
      </c>
      <c r="Q379" s="5" t="s">
        <v>90</v>
      </c>
    </row>
    <row r="380" ht="17" spans="1:17">
      <c r="A380" t="s">
        <v>99</v>
      </c>
      <c r="B380" t="s">
        <v>100</v>
      </c>
      <c r="C380" t="s">
        <v>76</v>
      </c>
      <c r="D380" t="s">
        <v>77</v>
      </c>
      <c r="E380" t="s">
        <v>50</v>
      </c>
      <c r="F380" s="12">
        <v>2800000000000000</v>
      </c>
      <c r="G380" s="12">
        <v>40000000000000</v>
      </c>
      <c r="H380" s="12">
        <v>124672419034407</v>
      </c>
      <c r="I380" s="12" t="s">
        <v>88</v>
      </c>
      <c r="J380" s="12" t="s">
        <v>88</v>
      </c>
      <c r="K380" s="12"/>
      <c r="L380" s="13"/>
      <c r="M380" s="5" t="s">
        <v>68</v>
      </c>
      <c r="N380" s="5" t="s">
        <v>45</v>
      </c>
      <c r="O380" s="5" t="s">
        <v>89</v>
      </c>
      <c r="P380" s="5" t="s">
        <v>47</v>
      </c>
      <c r="Q380" s="5" t="s">
        <v>90</v>
      </c>
    </row>
    <row r="381" ht="17" spans="1:17">
      <c r="A381" t="s">
        <v>99</v>
      </c>
      <c r="B381" t="s">
        <v>100</v>
      </c>
      <c r="C381" t="s">
        <v>76</v>
      </c>
      <c r="D381" t="s">
        <v>77</v>
      </c>
      <c r="E381" t="s">
        <v>51</v>
      </c>
      <c r="F381" s="12">
        <v>2800000000000000</v>
      </c>
      <c r="G381" s="12">
        <v>40000000000000</v>
      </c>
      <c r="H381" s="12">
        <v>2768388859182660</v>
      </c>
      <c r="I381" s="12" t="s">
        <v>88</v>
      </c>
      <c r="J381" s="12" t="s">
        <v>88</v>
      </c>
      <c r="K381" s="12"/>
      <c r="L381" s="13"/>
      <c r="M381" s="5" t="s">
        <v>68</v>
      </c>
      <c r="N381" s="5" t="s">
        <v>45</v>
      </c>
      <c r="O381" s="5" t="s">
        <v>89</v>
      </c>
      <c r="P381" s="5" t="s">
        <v>47</v>
      </c>
      <c r="Q381" s="5" t="s">
        <v>90</v>
      </c>
    </row>
    <row r="382" ht="17" spans="1:17">
      <c r="A382" t="s">
        <v>99</v>
      </c>
      <c r="B382" t="s">
        <v>100</v>
      </c>
      <c r="C382" t="s">
        <v>76</v>
      </c>
      <c r="D382" t="s">
        <v>77</v>
      </c>
      <c r="E382" t="s">
        <v>52</v>
      </c>
      <c r="F382" s="12">
        <v>2800000000000000</v>
      </c>
      <c r="G382" s="12">
        <v>40000000000000</v>
      </c>
      <c r="H382" s="12">
        <v>4.94345779807922e+16</v>
      </c>
      <c r="I382" s="12" t="s">
        <v>88</v>
      </c>
      <c r="J382" s="12" t="s">
        <v>88</v>
      </c>
      <c r="K382" s="12"/>
      <c r="L382" s="13"/>
      <c r="M382" s="5" t="s">
        <v>68</v>
      </c>
      <c r="N382" s="5" t="s">
        <v>45</v>
      </c>
      <c r="O382" s="5" t="s">
        <v>89</v>
      </c>
      <c r="P382" s="5" t="s">
        <v>47</v>
      </c>
      <c r="Q382" s="5" t="s">
        <v>90</v>
      </c>
    </row>
    <row r="383" ht="17" spans="1:17">
      <c r="A383" t="s">
        <v>99</v>
      </c>
      <c r="B383" t="s">
        <v>100</v>
      </c>
      <c r="C383" t="s">
        <v>76</v>
      </c>
      <c r="D383" t="s">
        <v>77</v>
      </c>
      <c r="E383" t="s">
        <v>53</v>
      </c>
      <c r="F383" s="12">
        <v>2800000000000000</v>
      </c>
      <c r="G383" s="12">
        <v>40000000000000</v>
      </c>
      <c r="H383" s="12">
        <v>2096382649322300</v>
      </c>
      <c r="I383" s="12" t="s">
        <v>88</v>
      </c>
      <c r="J383" s="12" t="s">
        <v>88</v>
      </c>
      <c r="K383" s="12"/>
      <c r="L383" s="13"/>
      <c r="M383" s="5" t="s">
        <v>68</v>
      </c>
      <c r="N383" s="5" t="s">
        <v>45</v>
      </c>
      <c r="O383" s="5" t="s">
        <v>89</v>
      </c>
      <c r="P383" s="5" t="s">
        <v>47</v>
      </c>
      <c r="Q383" s="5" t="s">
        <v>90</v>
      </c>
    </row>
    <row r="384" ht="17" spans="1:17">
      <c r="A384" t="s">
        <v>99</v>
      </c>
      <c r="B384" t="s">
        <v>100</v>
      </c>
      <c r="C384" t="s">
        <v>76</v>
      </c>
      <c r="D384" t="s">
        <v>77</v>
      </c>
      <c r="E384" t="s">
        <v>54</v>
      </c>
      <c r="F384" s="12">
        <v>2800000000000000</v>
      </c>
      <c r="G384" s="12">
        <v>40000000000000</v>
      </c>
      <c r="H384" s="12">
        <v>3170353158678220</v>
      </c>
      <c r="I384" s="12" t="s">
        <v>88</v>
      </c>
      <c r="J384" s="12" t="s">
        <v>88</v>
      </c>
      <c r="K384" s="12"/>
      <c r="L384" s="13"/>
      <c r="M384" s="5" t="s">
        <v>68</v>
      </c>
      <c r="N384" s="5" t="s">
        <v>45</v>
      </c>
      <c r="O384" s="5" t="s">
        <v>89</v>
      </c>
      <c r="P384" s="5" t="s">
        <v>47</v>
      </c>
      <c r="Q384" s="5" t="s">
        <v>90</v>
      </c>
    </row>
    <row r="385" ht="17" spans="1:17">
      <c r="A385" t="s">
        <v>99</v>
      </c>
      <c r="B385" t="s">
        <v>100</v>
      </c>
      <c r="C385" t="s">
        <v>76</v>
      </c>
      <c r="D385" t="s">
        <v>77</v>
      </c>
      <c r="E385" t="s">
        <v>55</v>
      </c>
      <c r="F385" s="12">
        <v>2800000000000000</v>
      </c>
      <c r="G385" s="12">
        <v>40000000000000</v>
      </c>
      <c r="H385" s="12">
        <v>69251532455560.5</v>
      </c>
      <c r="I385" s="12" t="s">
        <v>88</v>
      </c>
      <c r="J385" s="12" t="s">
        <v>88</v>
      </c>
      <c r="K385" s="12"/>
      <c r="L385" s="13"/>
      <c r="M385" s="5" t="s">
        <v>68</v>
      </c>
      <c r="N385" s="5" t="s">
        <v>45</v>
      </c>
      <c r="O385" s="5" t="s">
        <v>89</v>
      </c>
      <c r="P385" s="5" t="s">
        <v>47</v>
      </c>
      <c r="Q385" s="5" t="s">
        <v>90</v>
      </c>
    </row>
  </sheetData>
  <conditionalFormatting sqref="M2:M385">
    <cfRule type="containsText" dxfId="1" priority="1" operator="between" text="exceeds">
      <formula>NOT(ISERROR(SEARCH("exceeds",M2)))</formula>
    </cfRule>
    <cfRule type="containsText" dxfId="2" priority="2" operator="between" text="below-signal">
      <formula>NOT(ISERROR(SEARCH("below-signal",M2)))</formula>
    </cfRule>
    <cfRule type="containsText" dxfId="3" priority="3" operator="between" text="context-only">
      <formula>NOT(ISERROR(SEARCH("context-only",M2)))</formula>
    </cfRule>
  </conditionalFormatting>
  <conditionalFormatting sqref="N2:N385">
    <cfRule type="containsText" dxfId="3" priority="4" operator="between" text="insufficient">
      <formula>NOT(ISERROR(SEARCH("insufficient",N2)))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workbookViewId="0">
      <selection activeCell="A1" sqref="A1"/>
    </sheetView>
  </sheetViews>
  <sheetFormatPr defaultColWidth="9" defaultRowHeight="16.8"/>
  <cols>
    <col min="1" max="1" width="32" customWidth="1"/>
    <col min="2" max="2" width="40" customWidth="1"/>
    <col min="3" max="4" width="24" customWidth="1"/>
    <col min="5" max="5" width="21.4411764705882" customWidth="1"/>
    <col min="6" max="6" width="20" customWidth="1"/>
    <col min="7" max="9" width="44" customWidth="1"/>
    <col min="10" max="10" width="48" customWidth="1"/>
  </cols>
  <sheetData>
    <row r="1" ht="32" customHeight="1" spans="1:10">
      <c r="A1" s="10" t="s">
        <v>28</v>
      </c>
      <c r="B1" s="10" t="s">
        <v>101</v>
      </c>
      <c r="C1" s="10" t="s">
        <v>102</v>
      </c>
      <c r="D1" s="10" t="s">
        <v>21</v>
      </c>
      <c r="E1" s="10" t="s">
        <v>103</v>
      </c>
      <c r="F1" s="10" t="s">
        <v>104</v>
      </c>
      <c r="G1" s="10" t="s">
        <v>105</v>
      </c>
      <c r="H1" s="10" t="s">
        <v>106</v>
      </c>
      <c r="I1" s="10" t="s">
        <v>107</v>
      </c>
      <c r="J1" s="10" t="s">
        <v>36</v>
      </c>
    </row>
    <row r="2" ht="54" customHeight="1" spans="1:10">
      <c r="A2" s="5" t="s">
        <v>108</v>
      </c>
      <c r="B2" s="5" t="s">
        <v>109</v>
      </c>
      <c r="C2" s="5" t="s">
        <v>61</v>
      </c>
      <c r="D2" s="5" t="s">
        <v>37</v>
      </c>
      <c r="E2" s="11">
        <v>110000000000000</v>
      </c>
      <c r="F2" s="5" t="s">
        <v>110</v>
      </c>
      <c r="G2" s="5" t="s">
        <v>111</v>
      </c>
      <c r="H2" s="5" t="s">
        <v>112</v>
      </c>
      <c r="I2" s="5" t="s">
        <v>113</v>
      </c>
      <c r="J2" s="5" t="s">
        <v>48</v>
      </c>
    </row>
    <row r="3" ht="54" customHeight="1" spans="1:10">
      <c r="A3" s="5" t="s">
        <v>42</v>
      </c>
      <c r="B3" s="5" t="s">
        <v>43</v>
      </c>
      <c r="C3" s="5" t="s">
        <v>61</v>
      </c>
      <c r="D3" s="5" t="s">
        <v>37</v>
      </c>
      <c r="E3" s="11">
        <v>79000000000000</v>
      </c>
      <c r="F3" s="5" t="s">
        <v>110</v>
      </c>
      <c r="G3" s="5" t="s">
        <v>114</v>
      </c>
      <c r="H3" s="5" t="s">
        <v>112</v>
      </c>
      <c r="I3" s="5" t="s">
        <v>115</v>
      </c>
      <c r="J3" s="5" t="s">
        <v>48</v>
      </c>
    </row>
    <row r="4" ht="54" customHeight="1" spans="1:10">
      <c r="A4" s="5" t="s">
        <v>80</v>
      </c>
      <c r="B4" s="5" t="s">
        <v>81</v>
      </c>
      <c r="C4" s="5" t="s">
        <v>61</v>
      </c>
      <c r="D4" s="5" t="s">
        <v>78</v>
      </c>
      <c r="E4" s="11">
        <v>120000000000000</v>
      </c>
      <c r="F4" s="5" t="s">
        <v>116</v>
      </c>
      <c r="G4" s="5" t="s">
        <v>111</v>
      </c>
      <c r="H4" s="5" t="s">
        <v>112</v>
      </c>
      <c r="I4" s="5" t="s">
        <v>117</v>
      </c>
      <c r="J4" s="5" t="s">
        <v>83</v>
      </c>
    </row>
    <row r="5" ht="54" customHeight="1" spans="1:10">
      <c r="A5" s="5" t="s">
        <v>118</v>
      </c>
      <c r="B5" s="5" t="s">
        <v>119</v>
      </c>
      <c r="C5" s="5" t="s">
        <v>40</v>
      </c>
      <c r="D5" s="5" t="s">
        <v>120</v>
      </c>
      <c r="E5" s="11">
        <v>180000000000</v>
      </c>
      <c r="F5" s="5" t="s">
        <v>116</v>
      </c>
      <c r="G5" s="5" t="s">
        <v>121</v>
      </c>
      <c r="H5" s="5" t="s">
        <v>122</v>
      </c>
      <c r="I5" s="5" t="s">
        <v>123</v>
      </c>
      <c r="J5" s="5" t="s">
        <v>124</v>
      </c>
    </row>
    <row r="6" ht="54" customHeight="1" spans="1:10">
      <c r="A6" s="5" t="s">
        <v>125</v>
      </c>
      <c r="B6" s="5" t="s">
        <v>126</v>
      </c>
      <c r="C6" s="5" t="s">
        <v>61</v>
      </c>
      <c r="D6" s="5" t="s">
        <v>127</v>
      </c>
      <c r="E6" s="11">
        <v>7000000000</v>
      </c>
      <c r="F6" s="5" t="s">
        <v>128</v>
      </c>
      <c r="G6" s="5" t="s">
        <v>129</v>
      </c>
      <c r="H6" s="5" t="s">
        <v>122</v>
      </c>
      <c r="I6" s="5" t="s">
        <v>130</v>
      </c>
      <c r="J6" s="5" t="s">
        <v>131</v>
      </c>
    </row>
    <row r="7" ht="54" customHeight="1" spans="1:10">
      <c r="A7" s="5" t="s">
        <v>132</v>
      </c>
      <c r="B7" s="5" t="s">
        <v>133</v>
      </c>
      <c r="C7" s="5" t="s">
        <v>61</v>
      </c>
      <c r="D7" s="5" t="s">
        <v>78</v>
      </c>
      <c r="E7" s="11">
        <v>12000000000000</v>
      </c>
      <c r="F7" s="5" t="s">
        <v>134</v>
      </c>
      <c r="G7" s="5" t="s">
        <v>135</v>
      </c>
      <c r="H7" s="5" t="s">
        <v>122</v>
      </c>
      <c r="I7" s="5" t="s">
        <v>136</v>
      </c>
      <c r="J7" s="5" t="s">
        <v>137</v>
      </c>
    </row>
    <row r="8" ht="54" customHeight="1" spans="1:10">
      <c r="A8" s="5" t="s">
        <v>138</v>
      </c>
      <c r="B8" s="5" t="s">
        <v>139</v>
      </c>
      <c r="C8" s="5" t="s">
        <v>61</v>
      </c>
      <c r="D8" s="5" t="s">
        <v>78</v>
      </c>
      <c r="E8" s="11">
        <v>120000000000000</v>
      </c>
      <c r="F8" s="5" t="s">
        <v>116</v>
      </c>
      <c r="G8" s="5" t="s">
        <v>140</v>
      </c>
      <c r="H8" s="5" t="s">
        <v>122</v>
      </c>
      <c r="I8" s="5" t="s">
        <v>141</v>
      </c>
      <c r="J8" s="5" t="s">
        <v>83</v>
      </c>
    </row>
    <row r="9" ht="54" customHeight="1" spans="1:10">
      <c r="A9" s="5" t="s">
        <v>142</v>
      </c>
      <c r="B9" s="5" t="s">
        <v>143</v>
      </c>
      <c r="C9" s="5" t="s">
        <v>144</v>
      </c>
      <c r="D9" s="5" t="s">
        <v>78</v>
      </c>
      <c r="E9" s="11">
        <v>12</v>
      </c>
      <c r="F9" s="5" t="s">
        <v>145</v>
      </c>
      <c r="G9" s="5" t="s">
        <v>146</v>
      </c>
      <c r="H9" s="5" t="s">
        <v>122</v>
      </c>
      <c r="I9" s="5" t="s">
        <v>147</v>
      </c>
      <c r="J9" s="5" t="s">
        <v>148</v>
      </c>
    </row>
    <row r="10" ht="54" customHeight="1" spans="1:10">
      <c r="A10" s="5" t="s">
        <v>149</v>
      </c>
      <c r="B10" s="5" t="s">
        <v>150</v>
      </c>
      <c r="C10" s="5" t="s">
        <v>144</v>
      </c>
      <c r="D10" s="5" t="s">
        <v>78</v>
      </c>
      <c r="E10" s="11">
        <v>100</v>
      </c>
      <c r="F10" s="5" t="s">
        <v>151</v>
      </c>
      <c r="G10" s="5" t="s">
        <v>146</v>
      </c>
      <c r="H10" s="5" t="s">
        <v>122</v>
      </c>
      <c r="I10" s="5" t="s">
        <v>152</v>
      </c>
      <c r="J10" s="5" t="s">
        <v>153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selection activeCell="A1" sqref="A1"/>
    </sheetView>
  </sheetViews>
  <sheetFormatPr defaultColWidth="9" defaultRowHeight="16.8" outlineLevelCol="3"/>
  <cols>
    <col min="1" max="1" width="44" customWidth="1"/>
    <col min="2" max="4" width="40" customWidth="1"/>
  </cols>
  <sheetData>
    <row r="1" spans="1:4">
      <c r="A1" s="1" t="s">
        <v>154</v>
      </c>
      <c r="B1" s="2" t="s">
        <v>155</v>
      </c>
      <c r="C1" s="2" t="s">
        <v>156</v>
      </c>
      <c r="D1" s="3" t="s">
        <v>157</v>
      </c>
    </row>
    <row r="2" ht="48" customHeight="1" spans="1:4">
      <c r="A2" s="4" t="s">
        <v>31</v>
      </c>
      <c r="B2" s="5" t="s">
        <v>158</v>
      </c>
      <c r="C2" s="5" t="s">
        <v>159</v>
      </c>
      <c r="D2" s="6" t="s">
        <v>160</v>
      </c>
    </row>
    <row r="3" ht="48" customHeight="1" spans="1:4">
      <c r="A3" s="4" t="s">
        <v>62</v>
      </c>
      <c r="B3" s="5" t="s">
        <v>161</v>
      </c>
      <c r="C3" s="5" t="s">
        <v>162</v>
      </c>
      <c r="D3" s="6" t="s">
        <v>163</v>
      </c>
    </row>
    <row r="4" ht="48" customHeight="1" spans="1:4">
      <c r="A4" s="4" t="s">
        <v>84</v>
      </c>
      <c r="B4" s="5" t="s">
        <v>164</v>
      </c>
      <c r="C4" s="5" t="s">
        <v>165</v>
      </c>
      <c r="D4" s="6" t="s">
        <v>166</v>
      </c>
    </row>
    <row r="5" ht="48" customHeight="1" spans="1:4">
      <c r="A5" s="4" t="s">
        <v>44</v>
      </c>
      <c r="B5" s="5" t="s">
        <v>167</v>
      </c>
      <c r="C5" s="5" t="s">
        <v>168</v>
      </c>
      <c r="D5" s="6" t="s">
        <v>169</v>
      </c>
    </row>
    <row r="6" ht="48" customHeight="1" spans="1:4">
      <c r="A6" s="4" t="s">
        <v>94</v>
      </c>
      <c r="B6" s="5" t="s">
        <v>170</v>
      </c>
      <c r="C6" s="5" t="s">
        <v>171</v>
      </c>
      <c r="D6" s="6" t="s">
        <v>172</v>
      </c>
    </row>
    <row r="7" ht="48" customHeight="1" spans="1:4">
      <c r="A7" s="4" t="s">
        <v>68</v>
      </c>
      <c r="B7" s="5" t="s">
        <v>173</v>
      </c>
      <c r="C7" s="5" t="s">
        <v>174</v>
      </c>
      <c r="D7" s="6" t="s">
        <v>175</v>
      </c>
    </row>
    <row r="8" ht="48" customHeight="1" spans="1:4">
      <c r="A8" s="4" t="s">
        <v>176</v>
      </c>
      <c r="B8" s="5" t="s">
        <v>177</v>
      </c>
      <c r="C8" s="5" t="s">
        <v>178</v>
      </c>
      <c r="D8" s="6" t="s">
        <v>179</v>
      </c>
    </row>
    <row r="9" ht="48" customHeight="1" spans="1:4">
      <c r="A9" s="7" t="s">
        <v>180</v>
      </c>
      <c r="B9" s="8" t="s">
        <v>181</v>
      </c>
      <c r="C9" s="8" t="s">
        <v>182</v>
      </c>
      <c r="D9" s="9" t="s">
        <v>183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Organ_Margins</vt:lpstr>
      <vt:lpstr>Evidence</vt:lpstr>
      <vt:lpstr>Codebook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朱子轩</cp:lastModifiedBy>
  <dcterms:created xsi:type="dcterms:W3CDTF">2026-08-13T20:38:52Z</dcterms:created>
  <dcterms:modified xsi:type="dcterms:W3CDTF">2026-08-14T00:09:05Z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6EBD177EDD33EA0021EC7D6A95BB5006_42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